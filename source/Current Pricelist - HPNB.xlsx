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 Pilot - HP Pricelist\"/>
    </mc:Choice>
  </mc:AlternateContent>
  <xr:revisionPtr revIDLastSave="0" documentId="13_ncr:1_{9DBD77B9-FC86-4139-9DF1-071184053830}" xr6:coauthVersionLast="47" xr6:coauthVersionMax="47" xr10:uidLastSave="{00000000-0000-0000-0000-000000000000}"/>
  <bookViews>
    <workbookView xWindow="-120" yWindow="-120" windowWidth="38640" windowHeight="21120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1" l="1"/>
  <c r="K7" i="1"/>
  <c r="K6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K11" i="1"/>
  <c r="K10" i="1"/>
  <c r="K9" i="1"/>
  <c r="B4" i="1" l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3" i="1"/>
  <c r="C3" i="1" s="1"/>
</calcChain>
</file>

<file path=xl/sharedStrings.xml><?xml version="1.0" encoding="utf-8"?>
<sst xmlns="http://schemas.openxmlformats.org/spreadsheetml/2006/main" count="222" uniqueCount="130">
  <si>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</si>
  <si>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</si>
  <si>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</si>
  <si>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</si>
  <si>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</si>
  <si>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</si>
  <si>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</si>
  <si>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</si>
  <si>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</si>
  <si>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</si>
  <si>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</si>
  <si>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</si>
  <si>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</si>
  <si>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</si>
  <si>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</si>
  <si>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</si>
  <si>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</si>
  <si>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</si>
  <si>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</si>
  <si>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</si>
  <si>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</si>
  <si>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</si>
  <si>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</si>
  <si>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</si>
  <si>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</si>
  <si>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</si>
  <si>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</si>
  <si>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</si>
  <si>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</si>
  <si>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</si>
  <si>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</si>
  <si>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</si>
  <si>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</si>
  <si>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</si>
  <si>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</si>
  <si>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</si>
  <si>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</si>
  <si>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</si>
  <si>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</si>
  <si>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</si>
  <si>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</si>
  <si>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</si>
  <si>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</si>
  <si>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</si>
  <si>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</si>
  <si>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</si>
  <si>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</si>
  <si>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</si>
  <si>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</si>
  <si>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</si>
  <si>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</si>
  <si>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</si>
  <si>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</si>
  <si>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</si>
  <si>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</si>
  <si>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</si>
  <si>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</si>
  <si>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</si>
  <si>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</si>
  <si>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</si>
  <si>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</si>
  <si>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</si>
  <si>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</si>
  <si>
    <t>Promo DP</t>
  </si>
  <si>
    <t>Status</t>
  </si>
  <si>
    <t>Onhand</t>
  </si>
  <si>
    <t>E47WNPA</t>
  </si>
  <si>
    <t>E47WPPA</t>
  </si>
  <si>
    <t>E2HE2PA</t>
  </si>
  <si>
    <t>E2HE3PA</t>
  </si>
  <si>
    <t>E4PN6PA</t>
  </si>
  <si>
    <t>E6GG0PA</t>
  </si>
  <si>
    <t>E6GG2PA</t>
  </si>
  <si>
    <t>E47WMPA</t>
  </si>
  <si>
    <t>E6RZ4PA</t>
  </si>
  <si>
    <t>E6RZ5PA</t>
  </si>
  <si>
    <t>E6GG8PA</t>
  </si>
  <si>
    <t>E47WSPA</t>
  </si>
  <si>
    <t>E6GG9PA</t>
  </si>
  <si>
    <t>E2HE0PA</t>
  </si>
  <si>
    <t>E2HE1PA</t>
  </si>
  <si>
    <t>E5MC6PA</t>
  </si>
  <si>
    <t>E5MC7PA</t>
  </si>
  <si>
    <t>Abe-I 26C1</t>
  </si>
  <si>
    <t>Abe-A 26C1</t>
  </si>
  <si>
    <t>Bantie-I 26C1</t>
  </si>
  <si>
    <t>Bantie-A 26C1</t>
  </si>
  <si>
    <t>Agusta 26C1</t>
  </si>
  <si>
    <t>Truevalue</t>
  </si>
  <si>
    <t>HP Laptop 15-fc0289AU</t>
  </si>
  <si>
    <t>HP Laptop 15-fc0523AU</t>
  </si>
  <si>
    <t>HP Laptop 15-fd1655TU</t>
  </si>
  <si>
    <t>HP Laptop 15-fd1656TU</t>
  </si>
  <si>
    <t>HP Laptop 15-fc0998AU</t>
  </si>
  <si>
    <t>HP OmniBook 3 AI PC 14-ht0270TU</t>
  </si>
  <si>
    <t>HP OmniBook 3 AI PC 14-ht0271TU</t>
  </si>
  <si>
    <t>HP OmniBook 3 14-hy0100AU</t>
  </si>
  <si>
    <t>HP OmniBook 3 16-bu0397TU</t>
  </si>
  <si>
    <t>HP OmniBook 3 16-bu0398TU</t>
  </si>
  <si>
    <t>HP OmniBook 3 16-by0121AU</t>
  </si>
  <si>
    <t>HP OmniBook 3 16-bu0384TU</t>
  </si>
  <si>
    <t>HP OmniBook 3 16-bu0393TU</t>
  </si>
  <si>
    <t>HP OmniBook 7 NG AI PC 14-hg0079TU</t>
  </si>
  <si>
    <t>HP OmniBook 7 NG AI PC 14-hg0080TU</t>
  </si>
  <si>
    <t>HP OmniBook X Flip NG AI PC 14-fm0206TU</t>
  </si>
  <si>
    <t>HP OmniBook X Flip NG AI PC 14-fm0208TU</t>
  </si>
  <si>
    <t>HP Laptop Clamshell | Otto 23C1 | Ryzen 5-7520U (Copilot) | 8GB 5500 LPDDR5 on-board | 512GB PCIe Value | AMD Radeon Graphics | 15.6 FHD (1920x1080) AG ultraslim SVA 250 nits Narrow Border  | Natural Silver (FF+) - 720p TNR PVCY ST | 45 Watt (Copilot) | 2-2-2 | HP 2y 3d Onsite Bundle Opp NB SVC Win 11 Home | MS Office Home 2024 Philippines + 1yr M365 Basic</t>
  </si>
  <si>
    <t>HP Laptop Clamshell | Otto 23C1 | Ryzen 5-7520U (Copilot) | 16GB 5500 LPDDR5 on-board | 512GB PCIe Value | AMD Radeon Graphics | 15.6 FHD (1920x1080) AG ultraslim SVA 250 nits Narrow Border | Natural Silver (FF+) - 720p TNR PVCY ST | 45 Watt (Copilot) | 2-2-2| HP 2y 3d Onsite Bundle Opp NB SVC |Win 11 Home | MS Office Home 2024 Philippines + 1yr M365 Basic</t>
  </si>
  <si>
    <t>HP Laptop Clamshell | Sebastian 24C1 | Core 5-120U (Copilot) | 8GB DDR4 1DM 3200 | 512GB PCIe value | Intel Graphics | 15.6 FHD (1920x1080) AG SVA 250 nits Narrow border ultraslim  | Natural Silver (FF+) - 1080p TNR PVCY ST | 45 Watt (Copilot) |2-2-2 | HP 2y 3d Onsite Bundle Opp NB SVC  |Win 11 Home | MS Office Home 2024 Philippines + 1yr M365 Basic</t>
  </si>
  <si>
    <t>HP Laptop Clamshell | Sebastian 24C1 | Core 5-120U (Copilot) | 16GB DDR4 2DM 3200 | 512GB PCIe value | Intel Graphics | 15.6 FHD (1920x1080) AG SVA 250 nits Narrow border ultraslim | OST W11H6 PLS SL APACPPP | Natural Silver (FF+) - 1080p TNR PVCY ST | 45 Watt (Copilot) | WARR 1/1/0 A/P | HP 2y 3d Onsite Bundle Opp NB SVC</t>
  </si>
  <si>
    <t>HP Laptop Clamshell | Otto 23C1 | Ryzen 7-7730U (Copilot) | 8GB DDR4 1DM 3200 | 512GB PCIe Value | AMD Radeon Graphics | 15.6 FHD (1920x1080) AG ultraslim SVA 250 nits Narrow Border  | Natural Silver (FF+) - 720p TNR PVCY ST | 45 Watt (Copilot) |2-2-2 | HP 2y 3d Onsite Bundle Opp NB SVC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</si>
  <si>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| Glacier Silver DF+ - 1080p TNR | 45 Watt USB-C GaN |2-2-2| HP 2y 3d Onsite Bundle Opp NB SVC 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</si>
  <si>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 | Starlit Blue DF+ - 1080p TNR | 45 Watt USB-C GaN | 2-2-2 | HP 2y 3d Onsite Bundle Opp NB SVC |Win 11 Home | MS Office Home 2024 Philippines + 1yr M365 Basic</t>
  </si>
  <si>
    <t>HP OmniBook 3 Clamshell | Abe-A 26C1 | Ryzen 5 130 (6C) | 8GB DDR5 1DM 4800 | 512GB PCIe Gen4 Value | AMD Radeon 660M Graphics | 14.0 2K (1920x1200) Antiglare IPS Low Power 300 nits | Mica Silver DF+ - 1080p TNR | 45 Watt USB-C GaN | 2-2-2 | HP 2y 3d Onsite Bundle Opp NB SVC |Win 11 Home | MS Office Home 2024 Philippines + 1yr M365 Basic</t>
  </si>
  <si>
    <t>HP OmniBook 3 Clamshell | Bantie-I 26C1 | Core 5 315 (6C) 15 NPU TOPs | 16GB LPDDR5X 7467 on-board | 512GB PCIe Gen4 Value | Intel Graphics | 16.0 2K (1920x1200) Antiglare IPS 300 nits | OST W11H6 PLS SL APACPPP | Glacier Silver DF+ - 1080p TNR | 45 Watt USB-C GaN | 2-2-2 | HP 2y 3d Onsite Bundle Opp NB SVC</t>
  </si>
  <si>
    <t>HP OmniBook 3 Clamshell | Bantie-I 26C1 | Core 5 315 (6C) 15 NPU TOPs | 16GB LPDDR5X 7467 on-board | 512GB PCIe Gen4 Value | Intel Graphics | 16.0 2K (1920x1200) Antiglare IPS 300 nits | Starlit Blue DF+ - 1080p TNR | 45 Watt USB-C GaN | 2-2-2 | HP 2y 3d Onsite Bundle Opp NB SVC |Win 11 Home | MS Office Home 2024 Philippines + 1yr M365 Basic</t>
  </si>
  <si>
    <t>HP OmniBook 3 Clamshell | Bantie-A 26C1 | Ryzen 5 130 (6C) | 16GB DDR5 1DM 4800 | 512GB PCIe Gen4 Value | AMD Radeon 660M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</si>
  <si>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</si>
  <si>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 | Starlit Blue DF+ - 1080p TNR | 45 Watt USB-C GaN | 2-2-2 | HP 2y 3d Onsite Bundle Opp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</si>
  <si>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| Meteor Silver - 5MP IR TNR | 100 Watt USB-C Wall-Mount GaN | 2-2-2 | HP 2y 3d Onsite Bundle Medium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</si>
  <si>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 | Powder Pink - 5MP IR TNR | 100 Watt USB-C Wall-Mount GaN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</si>
  <si>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Atmospheric Blue AI logo - 5MP IR PVCY ST | 65 Watt USB C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</si>
  <si>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OST W11H6 NG PRE SL APACPPP | Meteor Silver AI logo - 5MP IR PVCY ST | 65 Watt USB C | 2-2-2 | HP 2y 3d Onsite Bundle Medium NB SVC</t>
  </si>
  <si>
    <t>Omnibook 7</t>
  </si>
  <si>
    <t>Incoming</t>
  </si>
  <si>
    <t>Order Basis</t>
  </si>
  <si>
    <t>Promo SRP</t>
  </si>
  <si>
    <t>Comments</t>
  </si>
  <si>
    <t>Maximum 50 units only until Oct 31, 2026</t>
  </si>
  <si>
    <t>Maximum 350 units only until Oct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</si>
</sst>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7">
    <xf numFmtId="0" fontId="0" fillId="0" borderId="0" xfId="0"/>
    <xf numFmtId="43" fontId="0" fillId="0" borderId="0" xfId="1" applyFont="1"/>
    <xf numFmtId="1" fontId="0" fillId="0" borderId="0" xfId="0" applyNumberFormat="1"/>
    <xf numFmtId="0" fontId="2" fillId="0" borderId="1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center"/>
    </xf>
    <xf numFmtId="0" fontId="2" fillId="0" borderId="1" xfId="1" applyNumberFormat="1" applyFont="1" applyBorder="1" applyAlignment="1">
      <alignment horizontal="left" vertical="center"/>
    </xf>
    <xf numFmtId="0" fontId="2" fillId="0" borderId="1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center"/>
    </xf>
    <xf numFmtId="0" fontId="2" fillId="0" borderId="1" xfId="2" applyNumberFormat="1" applyFont="1" applyFill="1" applyBorder="1" applyAlignment="1">
      <alignment horizontal="left" vertical="top"/>
    </xf>
    <xf numFmtId="0" fontId="2" fillId="0" borderId="3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top"/>
    </xf>
    <xf numFmtId="0" fontId="2" fillId="0" borderId="0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top"/>
    </xf>
    <xf numFmtId="0" fontId="2" fillId="0" borderId="4" xfId="1" applyNumberFormat="1" applyFont="1" applyFill="1" applyBorder="1" applyAlignment="1">
      <alignment horizontal="left" vertical="top"/>
    </xf>
    <xf numFmtId="43" fontId="3" fillId="2" borderId="1" xfId="1" applyFont="1" applyFill="1" applyBorder="1" applyAlignment="1">
      <alignment horizontal="center" vertical="top"/>
    </xf>
    <xf numFmtId="43" fontId="3" fillId="0" borderId="1" xfId="1" applyFont="1" applyFill="1" applyBorder="1" applyAlignment="1">
      <alignment horizontal="center" vertical="top"/>
    </xf>
    <xf numFmtId="43" fontId="4" fillId="0" borderId="1" xfId="1" applyFont="1" applyBorder="1" applyAlignment="1">
      <alignment horizontal="center" vertical="top"/>
    </xf>
  </cellXfs>
  <cellStyles count="3">
    <cellStyle name="Comma" xfId="1" builtinId="3"/>
    <cellStyle name="Comma 2 3" xfId="2" xr:uid="{2BCE3A47-9942-4B9C-8662-0B6C23B0585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file:///C:\Users\jhonedcel_nolasco\Documents\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ZMATINFO NB - 0924"/>
    </sheetNames>
    <sheetDataSet>
      <sheetData sheetId="0" refreshError="1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M40"/>
  <sheetViews>
    <sheetView tabSelected="1" zoomScale="115" zoomScaleNormal="115" workbookViewId="0">
      <selection activeCell="M9" sqref="M9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14.28515625" bestFit="1" customWidth="1"/>
    <col min="5" max="5" width="14" bestFit="1" customWidth="1"/>
    <col min="6" max="6" width="39.140625" bestFit="1" customWidth="1"/>
    <col min="7" max="7" width="8" customWidth="1"/>
    <col min="8" max="8" width="12.28515625" bestFit="1" customWidth="1"/>
    <col min="9" max="11" width="12.28515625" customWidth="1"/>
    <col min="13" max="13" width="38.7109375" bestFit="1" customWidth="1"/>
  </cols>
  <sheetData>
    <row r="2" spans="2:13" x14ac:dyDescent="0.25">
      <c r="B2" t="s">
        <v>62</v>
      </c>
      <c r="C2" t="s">
        <v>61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126</v>
      </c>
      <c r="K2" t="s">
        <v>63</v>
      </c>
      <c r="L2" t="s">
        <v>64</v>
      </c>
      <c r="M2" t="s">
        <v>127</v>
      </c>
    </row>
    <row r="3" spans="2:13" x14ac:dyDescent="0.25">
      <c r="B3" t="str">
        <f>_xlfn.XLOOKUP(F3,'[1]non-gaming'!$G:$G,'[1]non-gaming'!$D:$D)</f>
        <v>DM8L5PA</v>
      </c>
      <c r="C3" s="2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1">
        <v>56990</v>
      </c>
      <c r="I3" s="1">
        <f>H3*0.85</f>
        <v>48441.5</v>
      </c>
      <c r="J3" s="1"/>
      <c r="K3" s="1"/>
      <c r="L3" t="s">
        <v>65</v>
      </c>
    </row>
    <row r="4" spans="2:13" x14ac:dyDescent="0.25">
      <c r="B4" t="str">
        <f>_xlfn.XLOOKUP(F4,'[1]non-gaming'!$G:$G,'[1]non-gaming'!$D:$D)</f>
        <v>DJ8T8PA</v>
      </c>
      <c r="C4" s="2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1">
        <v>62990</v>
      </c>
      <c r="I4" s="1">
        <f t="shared" ref="I4:I40" si="0">H4*0.85</f>
        <v>53541.5</v>
      </c>
      <c r="J4" s="1"/>
      <c r="K4" s="1"/>
      <c r="L4" t="s">
        <v>65</v>
      </c>
    </row>
    <row r="5" spans="2:13" x14ac:dyDescent="0.25">
      <c r="B5" t="str">
        <f>_xlfn.XLOOKUP(F5,'[1]non-gaming'!$G:$G,'[1]non-gaming'!$D:$D)</f>
        <v>DU5U6PA</v>
      </c>
      <c r="C5" s="2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1">
        <v>58990</v>
      </c>
      <c r="I5" s="1">
        <f t="shared" si="0"/>
        <v>50141.5</v>
      </c>
      <c r="J5" s="1"/>
      <c r="K5" s="1"/>
      <c r="L5" t="s">
        <v>65</v>
      </c>
    </row>
    <row r="6" spans="2:13" x14ac:dyDescent="0.25">
      <c r="B6" t="str">
        <f>_xlfn.XLOOKUP(F6,'[1]non-gaming'!$G:$G,'[1]non-gaming'!$D:$D)</f>
        <v>DW4U8PA</v>
      </c>
      <c r="C6" s="2">
        <f>VLOOKUP(B6,'[2]ZMATINFO NB - 0924'!$N:$R,4,0)</f>
        <v>432115036898</v>
      </c>
      <c r="D6" t="s">
        <v>45</v>
      </c>
      <c r="E6" t="s">
        <v>57</v>
      </c>
      <c r="F6" t="s">
        <v>7</v>
      </c>
      <c r="G6" t="s">
        <v>8</v>
      </c>
      <c r="H6" s="1">
        <v>60990</v>
      </c>
      <c r="I6" s="1">
        <f t="shared" si="0"/>
        <v>51841.5</v>
      </c>
      <c r="J6" s="1">
        <v>44990</v>
      </c>
      <c r="K6" s="1">
        <f>J6*0.85</f>
        <v>38241.5</v>
      </c>
      <c r="L6" t="s">
        <v>65</v>
      </c>
      <c r="M6" t="s">
        <v>128</v>
      </c>
    </row>
    <row r="7" spans="2:13" x14ac:dyDescent="0.25">
      <c r="B7" t="str">
        <f>_xlfn.XLOOKUP(F7,'[1]non-gaming'!$G:$G,'[1]non-gaming'!$D:$D)</f>
        <v>DW4U9PA</v>
      </c>
      <c r="C7" s="2">
        <f>VLOOKUP(B7,'[2]ZMATINFO NB - 0924'!$N:$R,4,0)</f>
        <v>432115036899</v>
      </c>
      <c r="D7" t="s">
        <v>45</v>
      </c>
      <c r="E7" t="s">
        <v>57</v>
      </c>
      <c r="F7" t="s">
        <v>9</v>
      </c>
      <c r="G7" t="s">
        <v>10</v>
      </c>
      <c r="H7" s="1">
        <v>60990</v>
      </c>
      <c r="I7" s="1">
        <f t="shared" si="0"/>
        <v>51841.5</v>
      </c>
      <c r="J7" s="1">
        <v>44990</v>
      </c>
      <c r="K7" s="1">
        <f>J7*0.85</f>
        <v>38241.5</v>
      </c>
      <c r="L7" t="s">
        <v>65</v>
      </c>
      <c r="M7" t="s">
        <v>128</v>
      </c>
    </row>
    <row r="8" spans="2:13" x14ac:dyDescent="0.25">
      <c r="B8" t="str">
        <f>_xlfn.XLOOKUP(F8,'[1]non-gaming'!$G:$G,'[1]non-gaming'!$D:$D)</f>
        <v>DW7W9PA</v>
      </c>
      <c r="C8" s="2">
        <f>VLOOKUP(B8,'[2]ZMATINFO NB - 0924'!$N:$R,4,0)</f>
        <v>432115036900</v>
      </c>
      <c r="D8" t="s">
        <v>45</v>
      </c>
      <c r="E8" t="s">
        <v>57</v>
      </c>
      <c r="F8" t="s">
        <v>11</v>
      </c>
      <c r="G8" t="s">
        <v>12</v>
      </c>
      <c r="H8" s="1">
        <v>64990</v>
      </c>
      <c r="I8" s="1">
        <f t="shared" si="0"/>
        <v>55241.5</v>
      </c>
      <c r="J8" s="1">
        <v>60990</v>
      </c>
      <c r="K8" s="1">
        <f>J8*0.85</f>
        <v>51841.5</v>
      </c>
      <c r="L8" t="s">
        <v>65</v>
      </c>
      <c r="M8" t="s">
        <v>129</v>
      </c>
    </row>
    <row r="9" spans="2:13" x14ac:dyDescent="0.25">
      <c r="B9" t="str">
        <f>_xlfn.XLOOKUP(F9,'[1]non-gaming'!$G:$G,'[1]non-gaming'!$D:$D)</f>
        <v>DJ8T4PA</v>
      </c>
      <c r="C9" s="2">
        <f>VLOOKUP(B9,'[2]ZMATINFO NB - 0924'!$N:$R,4,0)</f>
        <v>432115036903</v>
      </c>
      <c r="D9" t="s">
        <v>46</v>
      </c>
      <c r="E9" t="s">
        <v>58</v>
      </c>
      <c r="F9" t="s">
        <v>13</v>
      </c>
      <c r="G9" t="s">
        <v>14</v>
      </c>
      <c r="H9" s="1">
        <v>85990</v>
      </c>
      <c r="I9" s="1">
        <f t="shared" si="0"/>
        <v>73091.5</v>
      </c>
      <c r="J9" s="1"/>
      <c r="K9" s="1">
        <f t="shared" ref="K6:K11" si="1">H9*0.8</f>
        <v>68792</v>
      </c>
      <c r="L9" t="s">
        <v>65</v>
      </c>
    </row>
    <row r="10" spans="2:13" x14ac:dyDescent="0.25">
      <c r="B10" t="str">
        <f>_xlfn.XLOOKUP(F10,'[1]non-gaming'!$G:$G,'[1]non-gaming'!$D:$D)</f>
        <v>DX4J7PA</v>
      </c>
      <c r="C10" s="2">
        <f>VLOOKUP(B10,'[2]ZMATINFO NB - 0924'!$N:$R,4,0)</f>
        <v>432115036904</v>
      </c>
      <c r="D10" t="s">
        <v>47</v>
      </c>
      <c r="E10" t="s">
        <v>58</v>
      </c>
      <c r="F10" t="s">
        <v>15</v>
      </c>
      <c r="G10" t="s">
        <v>16</v>
      </c>
      <c r="H10" s="1">
        <v>87990</v>
      </c>
      <c r="I10" s="1">
        <f t="shared" si="0"/>
        <v>74791.5</v>
      </c>
      <c r="J10" s="1"/>
      <c r="K10" s="1">
        <f t="shared" si="1"/>
        <v>70392</v>
      </c>
      <c r="L10" t="s">
        <v>65</v>
      </c>
    </row>
    <row r="11" spans="2:13" x14ac:dyDescent="0.25">
      <c r="B11" t="str">
        <f>_xlfn.XLOOKUP(F11,'[1]non-gaming'!$G:$G,'[1]non-gaming'!$D:$D)</f>
        <v>DU5R6PA</v>
      </c>
      <c r="C11" s="2">
        <f>VLOOKUP(B11,'[2]ZMATINFO NB - 0924'!$N:$R,4,0)</f>
        <v>432115036907</v>
      </c>
      <c r="D11" t="s">
        <v>48</v>
      </c>
      <c r="E11" t="s">
        <v>59</v>
      </c>
      <c r="F11" t="s">
        <v>17</v>
      </c>
      <c r="G11" t="s">
        <v>18</v>
      </c>
      <c r="H11" s="1">
        <v>80990</v>
      </c>
      <c r="I11" s="1">
        <f t="shared" si="0"/>
        <v>68841.5</v>
      </c>
      <c r="J11" s="1"/>
      <c r="K11" s="1">
        <f t="shared" si="1"/>
        <v>64792</v>
      </c>
      <c r="L11" t="s">
        <v>65</v>
      </c>
    </row>
    <row r="12" spans="2:13" x14ac:dyDescent="0.25">
      <c r="B12" t="str">
        <f>_xlfn.XLOOKUP(F12,'[1]non-gaming'!$G:$G,'[1]non-gaming'!$D:$D)</f>
        <v>DU5S6PA</v>
      </c>
      <c r="C12" s="2">
        <f>VLOOKUP(B12,'[2]ZMATINFO NB - 0924'!$N:$R,4,0)</f>
        <v>432115036914</v>
      </c>
      <c r="D12" t="s">
        <v>49</v>
      </c>
      <c r="E12" t="s">
        <v>60</v>
      </c>
      <c r="F12" t="s">
        <v>19</v>
      </c>
      <c r="G12" t="s">
        <v>20</v>
      </c>
      <c r="H12" s="1">
        <v>103990</v>
      </c>
      <c r="I12" s="1">
        <f t="shared" si="0"/>
        <v>88391.5</v>
      </c>
      <c r="J12" s="1"/>
      <c r="K12" s="1"/>
      <c r="L12" t="s">
        <v>65</v>
      </c>
    </row>
    <row r="13" spans="2:13" x14ac:dyDescent="0.25">
      <c r="B13" t="str">
        <f>_xlfn.XLOOKUP(F13,'[1]non-gaming'!$G:$G,'[1]non-gaming'!$D:$D)</f>
        <v>DU5S7PA</v>
      </c>
      <c r="C13" s="2">
        <f>VLOOKUP(B13,'[2]ZMATINFO NB - 0924'!$N:$R,4,0)</f>
        <v>432115036915</v>
      </c>
      <c r="D13" t="s">
        <v>49</v>
      </c>
      <c r="E13" t="s">
        <v>60</v>
      </c>
      <c r="F13" t="s">
        <v>21</v>
      </c>
      <c r="G13" t="s">
        <v>22</v>
      </c>
      <c r="H13" s="1">
        <v>113990</v>
      </c>
      <c r="I13" s="1">
        <f t="shared" si="0"/>
        <v>96891.5</v>
      </c>
      <c r="J13" s="1"/>
      <c r="K13" s="1"/>
      <c r="L13" t="s">
        <v>65</v>
      </c>
    </row>
    <row r="14" spans="2:13" x14ac:dyDescent="0.25">
      <c r="B14" t="str">
        <f>_xlfn.XLOOKUP(F14,'[1]non-gaming'!$G:$G,'[1]non-gaming'!$D:$D)</f>
        <v>DU5T2PA</v>
      </c>
      <c r="C14" s="2">
        <f>VLOOKUP(B14,'[2]ZMATINFO NB - 0924'!$N:$R,4,0)</f>
        <v>432115036916</v>
      </c>
      <c r="D14" t="s">
        <v>49</v>
      </c>
      <c r="E14" t="s">
        <v>60</v>
      </c>
      <c r="F14" t="s">
        <v>23</v>
      </c>
      <c r="G14" t="s">
        <v>24</v>
      </c>
      <c r="H14" s="1">
        <v>138990</v>
      </c>
      <c r="I14" s="1">
        <f t="shared" si="0"/>
        <v>118141.5</v>
      </c>
      <c r="J14" s="1"/>
      <c r="K14" s="1"/>
      <c r="L14" t="s">
        <v>65</v>
      </c>
    </row>
    <row r="15" spans="2:13" x14ac:dyDescent="0.25">
      <c r="B15" t="str">
        <f>_xlfn.XLOOKUP(F15,'[1]non-gaming'!$G:$G,'[1]non-gaming'!$D:$D)</f>
        <v>DU5S8PA</v>
      </c>
      <c r="C15" s="2">
        <f>VLOOKUP(B15,'[2]ZMATINFO NB - 0924'!$N:$R,4,0)</f>
        <v>432115036917</v>
      </c>
      <c r="D15" t="s">
        <v>49</v>
      </c>
      <c r="E15" t="s">
        <v>60</v>
      </c>
      <c r="F15" t="s">
        <v>25</v>
      </c>
      <c r="G15" t="s">
        <v>26</v>
      </c>
      <c r="H15" s="1">
        <v>159990</v>
      </c>
      <c r="I15" s="1">
        <f t="shared" si="0"/>
        <v>135991.5</v>
      </c>
      <c r="J15" s="1"/>
      <c r="K15" s="1"/>
      <c r="L15" t="s">
        <v>65</v>
      </c>
    </row>
    <row r="16" spans="2:13" x14ac:dyDescent="0.25">
      <c r="B16" t="str">
        <f>_xlfn.XLOOKUP(F16,'[1]non-gaming'!$G:$G,'[1]non-gaming'!$D:$D)</f>
        <v>DU5T6PA</v>
      </c>
      <c r="C16" s="2">
        <f>VLOOKUP(B16,'[2]ZMATINFO NB - 0924'!$N:$R,4,0)</f>
        <v>432115036919</v>
      </c>
      <c r="D16" t="s">
        <v>50</v>
      </c>
      <c r="E16" t="s">
        <v>60</v>
      </c>
      <c r="F16" t="s">
        <v>27</v>
      </c>
      <c r="G16" t="s">
        <v>28</v>
      </c>
      <c r="H16" s="1">
        <v>101990</v>
      </c>
      <c r="I16" s="1">
        <f t="shared" si="0"/>
        <v>86691.5</v>
      </c>
      <c r="J16" s="1"/>
      <c r="K16" s="1"/>
      <c r="L16" t="s">
        <v>65</v>
      </c>
    </row>
    <row r="17" spans="2:12" x14ac:dyDescent="0.25">
      <c r="B17" t="str">
        <f>_xlfn.XLOOKUP(F17,'[1]non-gaming'!$G:$G,'[1]non-gaming'!$D:$D)</f>
        <v>DU5S1PA</v>
      </c>
      <c r="C17" s="2">
        <f>VLOOKUP(B17,'[2]ZMATINFO NB - 0924'!$N:$R,4,0)</f>
        <v>432115036922</v>
      </c>
      <c r="D17" t="s">
        <v>49</v>
      </c>
      <c r="E17" t="s">
        <v>60</v>
      </c>
      <c r="F17" t="s">
        <v>29</v>
      </c>
      <c r="G17" t="s">
        <v>30</v>
      </c>
      <c r="H17" s="1">
        <v>112990</v>
      </c>
      <c r="I17" s="1">
        <f t="shared" si="0"/>
        <v>96041.5</v>
      </c>
      <c r="J17" s="1"/>
      <c r="K17" s="1"/>
      <c r="L17" t="s">
        <v>65</v>
      </c>
    </row>
    <row r="18" spans="2:12" x14ac:dyDescent="0.25">
      <c r="B18" t="str">
        <f>_xlfn.XLOOKUP(F18,'[1]non-gaming'!$G:$G,'[1]non-gaming'!$D:$D)</f>
        <v>DU5S4PA</v>
      </c>
      <c r="C18" s="2">
        <f>VLOOKUP(B18,'[2]ZMATINFO NB - 0924'!$N:$R,4,0)</f>
        <v>432115036923</v>
      </c>
      <c r="D18" t="s">
        <v>49</v>
      </c>
      <c r="E18" t="s">
        <v>60</v>
      </c>
      <c r="F18" t="s">
        <v>31</v>
      </c>
      <c r="G18" t="s">
        <v>32</v>
      </c>
      <c r="H18" s="1">
        <v>122990</v>
      </c>
      <c r="I18" s="1">
        <f t="shared" si="0"/>
        <v>104541.5</v>
      </c>
      <c r="J18" s="1"/>
      <c r="K18" s="1"/>
      <c r="L18" t="s">
        <v>65</v>
      </c>
    </row>
    <row r="19" spans="2:12" x14ac:dyDescent="0.25">
      <c r="B19" t="str">
        <f>_xlfn.XLOOKUP(F19,'[1]non-gaming'!$G:$G,'[1]non-gaming'!$D:$D)</f>
        <v>DU5S5PA</v>
      </c>
      <c r="C19" s="2">
        <f>VLOOKUP(B19,'[2]ZMATINFO NB - 0924'!$N:$R,4,0)</f>
        <v>432115036924</v>
      </c>
      <c r="D19" t="s">
        <v>49</v>
      </c>
      <c r="E19" t="s">
        <v>60</v>
      </c>
      <c r="F19" t="s">
        <v>33</v>
      </c>
      <c r="G19" t="s">
        <v>34</v>
      </c>
      <c r="H19" s="1">
        <v>169990</v>
      </c>
      <c r="I19" s="1">
        <f t="shared" si="0"/>
        <v>144491.5</v>
      </c>
      <c r="J19" s="1"/>
      <c r="K19" s="1"/>
      <c r="L19" t="s">
        <v>65</v>
      </c>
    </row>
    <row r="20" spans="2:12" x14ac:dyDescent="0.25">
      <c r="B20" t="str">
        <f>_xlfn.XLOOKUP(F20,'[1]non-gaming'!$G:$G,'[1]non-gaming'!$D:$D)</f>
        <v>DU5T4PA</v>
      </c>
      <c r="C20" s="2">
        <f>VLOOKUP(B20,'[2]ZMATINFO NB - 0924'!$N:$R,4,0)</f>
        <v>432115036925</v>
      </c>
      <c r="D20" t="s">
        <v>50</v>
      </c>
      <c r="E20" t="s">
        <v>60</v>
      </c>
      <c r="F20" t="s">
        <v>35</v>
      </c>
      <c r="G20" t="s">
        <v>36</v>
      </c>
      <c r="H20" s="1">
        <v>106990</v>
      </c>
      <c r="I20" s="1">
        <f t="shared" si="0"/>
        <v>90941.5</v>
      </c>
      <c r="J20" s="1"/>
      <c r="K20" s="1"/>
      <c r="L20" t="s">
        <v>65</v>
      </c>
    </row>
    <row r="21" spans="2:12" x14ac:dyDescent="0.25">
      <c r="B21" t="str">
        <f>_xlfn.XLOOKUP(F21,'[1]non-gaming'!$G:$G,'[1]non-gaming'!$D:$D)</f>
        <v>DW8J8PA</v>
      </c>
      <c r="C21" s="2">
        <f>VLOOKUP(B21,'[2]ZMATINFO NB - 0924'!$N:$R,4,0)</f>
        <v>432115036926</v>
      </c>
      <c r="D21" t="s">
        <v>50</v>
      </c>
      <c r="E21" t="s">
        <v>60</v>
      </c>
      <c r="F21" t="s">
        <v>37</v>
      </c>
      <c r="G21" t="s">
        <v>38</v>
      </c>
      <c r="H21" s="1">
        <v>109990</v>
      </c>
      <c r="I21" s="1">
        <f t="shared" si="0"/>
        <v>93491.5</v>
      </c>
      <c r="J21" s="1"/>
      <c r="K21" s="1"/>
      <c r="L21" t="s">
        <v>65</v>
      </c>
    </row>
    <row r="22" spans="2:12" x14ac:dyDescent="0.25">
      <c r="B22" t="str">
        <f>_xlfn.XLOOKUP(F22,'[1]non-gaming'!$G:$G,'[1]non-gaming'!$D:$D)</f>
        <v>DU5T3PA</v>
      </c>
      <c r="C22" s="2">
        <f>VLOOKUP(B22,'[2]ZMATINFO NB - 0924'!$N:$R,4,0)</f>
        <v>432115036927</v>
      </c>
      <c r="D22" t="s">
        <v>50</v>
      </c>
      <c r="E22" t="s">
        <v>60</v>
      </c>
      <c r="F22" t="s">
        <v>39</v>
      </c>
      <c r="G22" t="s">
        <v>40</v>
      </c>
      <c r="H22" s="1">
        <v>158990</v>
      </c>
      <c r="I22" s="1">
        <f t="shared" si="0"/>
        <v>135141.5</v>
      </c>
      <c r="J22" s="1"/>
      <c r="K22" s="1"/>
      <c r="L22" t="s">
        <v>65</v>
      </c>
    </row>
    <row r="23" spans="2:12" x14ac:dyDescent="0.25">
      <c r="B23" t="str">
        <f>_xlfn.XLOOKUP(F23,'[1]non-gaming'!$G:$G,'[1]non-gaming'!$D:$D)</f>
        <v>DM8L6PA</v>
      </c>
      <c r="C23" s="2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1">
        <v>57990</v>
      </c>
      <c r="I23" s="1">
        <f t="shared" si="0"/>
        <v>49291.5</v>
      </c>
      <c r="J23" s="1"/>
      <c r="K23" s="1"/>
      <c r="L23" t="s">
        <v>124</v>
      </c>
    </row>
    <row r="24" spans="2:12" x14ac:dyDescent="0.25">
      <c r="B24" s="3" t="s">
        <v>66</v>
      </c>
      <c r="C24" s="2">
        <f>VLOOKUP(B24,'[2]ZMATINFO NB - 0924'!$N:$R,4,0)</f>
        <v>432115037064</v>
      </c>
      <c r="D24" s="3" t="s">
        <v>43</v>
      </c>
      <c r="E24" t="s">
        <v>0</v>
      </c>
      <c r="F24" s="3" t="s">
        <v>89</v>
      </c>
      <c r="G24" s="9" t="s">
        <v>106</v>
      </c>
      <c r="H24" s="14">
        <v>64990</v>
      </c>
      <c r="I24" s="1">
        <f t="shared" si="0"/>
        <v>55241.5</v>
      </c>
      <c r="J24" s="1"/>
      <c r="L24" t="s">
        <v>124</v>
      </c>
    </row>
    <row r="25" spans="2:12" x14ac:dyDescent="0.25">
      <c r="B25" s="3" t="s">
        <v>67</v>
      </c>
      <c r="C25" s="2">
        <f>VLOOKUP(B25,'[2]ZMATINFO NB - 0924'!$N:$R,4,0)</f>
        <v>432115037065</v>
      </c>
      <c r="D25" s="3" t="s">
        <v>43</v>
      </c>
      <c r="E25" t="s">
        <v>0</v>
      </c>
      <c r="F25" s="3" t="s">
        <v>90</v>
      </c>
      <c r="G25" s="9" t="s">
        <v>107</v>
      </c>
      <c r="H25" s="14">
        <v>77990</v>
      </c>
      <c r="I25" s="1">
        <f t="shared" si="0"/>
        <v>66291.5</v>
      </c>
      <c r="J25" s="1"/>
      <c r="L25" t="s">
        <v>124</v>
      </c>
    </row>
    <row r="26" spans="2:12" x14ac:dyDescent="0.25">
      <c r="B26" s="3" t="s">
        <v>68</v>
      </c>
      <c r="C26" s="2">
        <f>VLOOKUP(B26,'[2]ZMATINFO NB - 0924'!$N:$R,4,0)</f>
        <v>432115037067</v>
      </c>
      <c r="D26" s="3" t="s">
        <v>44</v>
      </c>
      <c r="E26" t="s">
        <v>0</v>
      </c>
      <c r="F26" s="3" t="s">
        <v>91</v>
      </c>
      <c r="G26" s="9" t="s">
        <v>108</v>
      </c>
      <c r="H26" s="15">
        <v>66990</v>
      </c>
      <c r="I26" s="1">
        <f t="shared" si="0"/>
        <v>56941.5</v>
      </c>
      <c r="J26" s="1"/>
      <c r="L26" t="s">
        <v>124</v>
      </c>
    </row>
    <row r="27" spans="2:12" x14ac:dyDescent="0.25">
      <c r="B27" s="4" t="s">
        <v>69</v>
      </c>
      <c r="C27" s="2">
        <f>VLOOKUP(B27,'[2]ZMATINFO NB - 0924'!$N:$R,4,0)</f>
        <v>432115037139</v>
      </c>
      <c r="D27" s="6" t="s">
        <v>44</v>
      </c>
      <c r="E27" t="s">
        <v>0</v>
      </c>
      <c r="F27" s="4" t="s">
        <v>92</v>
      </c>
      <c r="G27" s="10" t="s">
        <v>109</v>
      </c>
      <c r="H27" s="16">
        <v>78990</v>
      </c>
      <c r="I27" s="1">
        <f t="shared" si="0"/>
        <v>67141.5</v>
      </c>
      <c r="J27" s="1"/>
      <c r="L27" t="s">
        <v>124</v>
      </c>
    </row>
    <row r="28" spans="2:12" x14ac:dyDescent="0.25">
      <c r="B28" s="5" t="s">
        <v>70</v>
      </c>
      <c r="C28" s="2">
        <f>VLOOKUP(B28,'[2]ZMATINFO NB - 0924'!$N:$R,4,0)</f>
        <v>432115037068</v>
      </c>
      <c r="D28" s="3" t="s">
        <v>43</v>
      </c>
      <c r="E28" t="s">
        <v>0</v>
      </c>
      <c r="F28" s="6" t="s">
        <v>93</v>
      </c>
      <c r="G28" s="11" t="s">
        <v>110</v>
      </c>
      <c r="H28" s="14">
        <v>67990</v>
      </c>
      <c r="I28" s="1">
        <f t="shared" si="0"/>
        <v>57791.5</v>
      </c>
      <c r="J28" s="1"/>
      <c r="L28" t="s">
        <v>124</v>
      </c>
    </row>
    <row r="29" spans="2:12" x14ac:dyDescent="0.25">
      <c r="B29" s="3" t="s">
        <v>71</v>
      </c>
      <c r="C29" s="2">
        <f>VLOOKUP(B29,'[2]ZMATINFO NB - 0924'!$N:$R,4,0)</f>
        <v>432115037086</v>
      </c>
      <c r="D29" s="3" t="s">
        <v>83</v>
      </c>
      <c r="E29" t="s">
        <v>57</v>
      </c>
      <c r="F29" s="3" t="s">
        <v>94</v>
      </c>
      <c r="G29" s="3" t="s">
        <v>111</v>
      </c>
      <c r="H29" s="15">
        <v>63990</v>
      </c>
      <c r="I29" s="1">
        <f t="shared" si="0"/>
        <v>54391.5</v>
      </c>
      <c r="J29" s="1"/>
      <c r="L29" t="s">
        <v>125</v>
      </c>
    </row>
    <row r="30" spans="2:12" x14ac:dyDescent="0.25">
      <c r="B30" s="3" t="s">
        <v>72</v>
      </c>
      <c r="C30" s="2">
        <f>VLOOKUP(B30,'[2]ZMATINFO NB - 0924'!$N:$R,4,0)</f>
        <v>432115037087</v>
      </c>
      <c r="D30" s="3" t="s">
        <v>83</v>
      </c>
      <c r="E30" t="s">
        <v>57</v>
      </c>
      <c r="F30" s="3" t="s">
        <v>95</v>
      </c>
      <c r="G30" s="3" t="s">
        <v>112</v>
      </c>
      <c r="H30" s="15">
        <v>63990</v>
      </c>
      <c r="I30" s="1">
        <f t="shared" si="0"/>
        <v>54391.5</v>
      </c>
      <c r="J30" s="1"/>
      <c r="L30" t="s">
        <v>125</v>
      </c>
    </row>
    <row r="31" spans="2:12" x14ac:dyDescent="0.25">
      <c r="B31" s="3" t="s">
        <v>73</v>
      </c>
      <c r="C31" s="2">
        <f>VLOOKUP(B31,'[2]ZMATINFO NB - 0924'!$N:$R,4,0)</f>
        <v>432115037097</v>
      </c>
      <c r="D31" s="3" t="s">
        <v>84</v>
      </c>
      <c r="E31" t="s">
        <v>57</v>
      </c>
      <c r="F31" s="3" t="s">
        <v>96</v>
      </c>
      <c r="G31" s="3" t="s">
        <v>113</v>
      </c>
      <c r="H31" s="14">
        <v>69990</v>
      </c>
      <c r="I31" s="1">
        <f t="shared" si="0"/>
        <v>59491.5</v>
      </c>
      <c r="J31" s="1"/>
      <c r="L31" t="s">
        <v>125</v>
      </c>
    </row>
    <row r="32" spans="2:12" x14ac:dyDescent="0.25">
      <c r="B32" s="3" t="s">
        <v>74</v>
      </c>
      <c r="C32" s="2">
        <f>VLOOKUP(B32,'[2]ZMATINFO NB - 0924'!$N:$R,4,0)</f>
        <v>432115037098</v>
      </c>
      <c r="D32" s="3" t="s">
        <v>85</v>
      </c>
      <c r="E32" t="s">
        <v>57</v>
      </c>
      <c r="F32" s="3" t="s">
        <v>97</v>
      </c>
      <c r="G32" s="3" t="s">
        <v>114</v>
      </c>
      <c r="H32" s="15">
        <v>79990</v>
      </c>
      <c r="I32" s="1">
        <f t="shared" si="0"/>
        <v>67991.5</v>
      </c>
      <c r="J32" s="1"/>
      <c r="L32" t="s">
        <v>125</v>
      </c>
    </row>
    <row r="33" spans="2:12" x14ac:dyDescent="0.25">
      <c r="B33" s="3" t="s">
        <v>75</v>
      </c>
      <c r="C33" s="2">
        <f>VLOOKUP(B33,'[2]ZMATINFO NB - 0924'!$N:$R,4,0)</f>
        <v>432115037088</v>
      </c>
      <c r="D33" s="3" t="s">
        <v>85</v>
      </c>
      <c r="E33" t="s">
        <v>57</v>
      </c>
      <c r="F33" s="3" t="s">
        <v>98</v>
      </c>
      <c r="G33" s="3" t="s">
        <v>115</v>
      </c>
      <c r="H33" s="15">
        <v>79990</v>
      </c>
      <c r="I33" s="1">
        <f t="shared" si="0"/>
        <v>67991.5</v>
      </c>
      <c r="J33" s="1"/>
      <c r="L33" t="s">
        <v>125</v>
      </c>
    </row>
    <row r="34" spans="2:12" x14ac:dyDescent="0.25">
      <c r="B34" s="3" t="s">
        <v>76</v>
      </c>
      <c r="C34" s="2">
        <f>VLOOKUP(B34,'[2]ZMATINFO NB - 0924'!$N:$R,4,0)</f>
        <v>432115037089</v>
      </c>
      <c r="D34" s="3" t="s">
        <v>86</v>
      </c>
      <c r="E34" t="s">
        <v>57</v>
      </c>
      <c r="F34" s="3" t="s">
        <v>99</v>
      </c>
      <c r="G34" s="3" t="s">
        <v>116</v>
      </c>
      <c r="H34" s="14">
        <v>82990</v>
      </c>
      <c r="I34" s="1">
        <f t="shared" si="0"/>
        <v>70541.5</v>
      </c>
      <c r="J34" s="1"/>
      <c r="L34" t="s">
        <v>125</v>
      </c>
    </row>
    <row r="35" spans="2:12" x14ac:dyDescent="0.25">
      <c r="B35" s="3" t="s">
        <v>77</v>
      </c>
      <c r="C35" s="2">
        <f>VLOOKUP(B35,'[2]ZMATINFO NB - 0924'!$N:$R,4,0)</f>
        <v>432115037090</v>
      </c>
      <c r="D35" s="3" t="s">
        <v>85</v>
      </c>
      <c r="E35" t="s">
        <v>57</v>
      </c>
      <c r="F35" s="3" t="s">
        <v>100</v>
      </c>
      <c r="G35" s="3" t="s">
        <v>117</v>
      </c>
      <c r="H35" s="14">
        <v>95990</v>
      </c>
      <c r="I35" s="1">
        <f t="shared" si="0"/>
        <v>81591.5</v>
      </c>
      <c r="J35" s="1"/>
      <c r="L35" t="s">
        <v>125</v>
      </c>
    </row>
    <row r="36" spans="2:12" x14ac:dyDescent="0.25">
      <c r="B36" s="3" t="s">
        <v>78</v>
      </c>
      <c r="C36" s="2">
        <f>VLOOKUP(B36,'[2]ZMATINFO NB - 0924'!$N:$R,4,0)</f>
        <v>432115037091</v>
      </c>
      <c r="D36" s="3" t="s">
        <v>85</v>
      </c>
      <c r="E36" t="s">
        <v>57</v>
      </c>
      <c r="F36" s="7" t="s">
        <v>101</v>
      </c>
      <c r="G36" s="12" t="s">
        <v>118</v>
      </c>
      <c r="H36" s="14">
        <v>95990</v>
      </c>
      <c r="I36" s="1">
        <f t="shared" si="0"/>
        <v>81591.5</v>
      </c>
      <c r="J36" s="1"/>
      <c r="L36" t="s">
        <v>125</v>
      </c>
    </row>
    <row r="37" spans="2:12" x14ac:dyDescent="0.25">
      <c r="B37" s="3" t="s">
        <v>79</v>
      </c>
      <c r="C37" s="2">
        <f>VLOOKUP(B37,'[2]ZMATINFO NB - 0924'!$N:$R,4,0)</f>
        <v>432115037092</v>
      </c>
      <c r="D37" s="3" t="s">
        <v>87</v>
      </c>
      <c r="E37" t="s">
        <v>123</v>
      </c>
      <c r="F37" s="3" t="s">
        <v>102</v>
      </c>
      <c r="G37" s="13" t="s">
        <v>119</v>
      </c>
      <c r="H37" s="15">
        <v>149990</v>
      </c>
      <c r="I37" s="1">
        <f t="shared" si="0"/>
        <v>127491.5</v>
      </c>
      <c r="J37" s="1"/>
      <c r="L37" t="s">
        <v>125</v>
      </c>
    </row>
    <row r="38" spans="2:12" x14ac:dyDescent="0.25">
      <c r="B38" s="3" t="s">
        <v>80</v>
      </c>
      <c r="C38" s="2">
        <f>VLOOKUP(B38,'[2]ZMATINFO NB - 0924'!$N:$R,4,0)</f>
        <v>432115037093</v>
      </c>
      <c r="D38" s="3" t="s">
        <v>87</v>
      </c>
      <c r="E38" t="s">
        <v>123</v>
      </c>
      <c r="F38" s="8" t="s">
        <v>103</v>
      </c>
      <c r="G38" s="13" t="s">
        <v>120</v>
      </c>
      <c r="H38" s="15">
        <v>149990</v>
      </c>
      <c r="I38" s="1">
        <f t="shared" si="0"/>
        <v>127491.5</v>
      </c>
      <c r="J38" s="1"/>
      <c r="L38" t="s">
        <v>125</v>
      </c>
    </row>
    <row r="39" spans="2:12" x14ac:dyDescent="0.25">
      <c r="B39" s="3" t="s">
        <v>81</v>
      </c>
      <c r="C39" s="2">
        <f>VLOOKUP(B39,'[2]ZMATINFO NB - 0924'!$N:$R,4,0)</f>
        <v>432115037094</v>
      </c>
      <c r="D39" s="6" t="s">
        <v>88</v>
      </c>
      <c r="E39" t="s">
        <v>60</v>
      </c>
      <c r="F39" s="3" t="s">
        <v>104</v>
      </c>
      <c r="G39" s="13" t="s">
        <v>121</v>
      </c>
      <c r="H39" s="14">
        <v>98990</v>
      </c>
      <c r="I39" s="1">
        <f t="shared" si="0"/>
        <v>84141.5</v>
      </c>
      <c r="J39" s="1"/>
      <c r="L39" t="s">
        <v>124</v>
      </c>
    </row>
    <row r="40" spans="2:12" x14ac:dyDescent="0.25">
      <c r="B40" s="3" t="s">
        <v>82</v>
      </c>
      <c r="C40" s="2">
        <f>VLOOKUP(B40,'[2]ZMATINFO NB - 0924'!$N:$R,4,0)</f>
        <v>432115037095</v>
      </c>
      <c r="D40" s="6" t="s">
        <v>88</v>
      </c>
      <c r="E40" t="s">
        <v>60</v>
      </c>
      <c r="F40" s="3" t="s">
        <v>105</v>
      </c>
      <c r="G40" s="13" t="s">
        <v>122</v>
      </c>
      <c r="H40" s="14">
        <v>98990</v>
      </c>
      <c r="I40" s="1">
        <f t="shared" si="0"/>
        <v>84141.5</v>
      </c>
      <c r="J40" s="1"/>
      <c r="L40" t="s">
        <v>124</v>
      </c>
    </row>
  </sheetData>
  <dataValidations disablePrompts="1" count="1">
    <dataValidation allowBlank="1" showInputMessage="1" showErrorMessage="1" prompt="Will be populated a few days after product is frozen" sqref="B39:B40 B35 B26:B28" xr:uid="{22BA7B52-23EF-4AFC-A745-BE66CB2ABC6E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2026-10-12T06:00:34Z</dcterms:modified>
</cp:coreProperties>
</file>