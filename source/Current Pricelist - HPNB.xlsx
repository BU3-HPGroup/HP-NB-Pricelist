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onedcel_nolasco\Desktop\Test Pilot - HP Pricelist\"/>
    </mc:Choice>
  </mc:AlternateContent>
  <xr:revisionPtr revIDLastSave="0" documentId="13_ncr:1_{DB45EF43-BE68-4B20-B6D6-910DB3B03F3A}" xr6:coauthVersionLast="47" xr6:coauthVersionMax="47" xr10:uidLastSave="{00000000-0000-0000-0000-000000000000}"/>
  <bookViews>
    <workbookView xWindow="-120" yWindow="-120" windowWidth="38640" windowHeight="21120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J11" i="1"/>
  <c r="J10" i="1"/>
  <c r="J9" i="1"/>
  <c r="J8" i="1"/>
  <c r="J7" i="1"/>
  <c r="J6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<sst xmlns="http://schemas.openxmlformats.org/spreadsheetml/2006/main" count="115" uniqueCount="66">
  <si>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</si>
  <si>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</si>
  <si>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</si>
  <si>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</si>
  <si>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</si>
  <si>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</si>
  <si>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</si>
  <si>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</si>
  <si>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</si>
  <si>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</si>
  <si>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</si>
  <si>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</si>
  <si>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</si>
  <si>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</si>
  <si>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</si>
  <si>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</si>
  <si>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</si>
  <si>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</si>
  <si>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</si>
  <si>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</si>
  <si>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</si>
  <si>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</si>
  <si>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</si>
  <si>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</si>
  <si>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</si>
  <si>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</si>
  <si>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</si>
  <si>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</si>
  <si>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</si>
  <si>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</si>
  <si>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</si>
  <si>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</si>
  <si>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</si>
  <si>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</si>
  <si>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</si>
  <si>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</si>
  <si>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</si>
  <si>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</si>
  <si>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</si>
  <si>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</si>
  <si>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</si>
  <si>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</si>
  <si>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</si>
  <si>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</si>
  <si>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</si>
  <si>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</si>
  <si>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</si>
  <si>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</si>
  <si>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</si>
  <si>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</si>
  <si>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</si>
  <si>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</si>
  <si>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</si>
  <si>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</si>
  <si>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</si>
  <si>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</si>
  <si>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</si>
  <si>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</si>
  <si>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</si>
  <si>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</si>
  <si>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</si>
  <si>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</si>
  <si>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</si>
  <si>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</si>
  <si>
    <t>Status</t>
  </si>
  <si>
    <t>Onhand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</si>
</sst>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43" fontId="0" fillId="0" borderId="0" xfId="1" applyFont="1"/>
    <xf numFmtId="1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ZMATINFO%20NB%20-%200924.xls" TargetMode="External"/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/Users/jhonedcel_nolasco/Documents/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MATINFO NB - 0924"/>
    </sheetNames>
    <sheetDataSet>
      <sheetData sheetId="0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K23"/>
  <sheetViews>
    <sheetView tabSelected="1" zoomScale="130" zoomScaleNormal="130" workbookViewId="0">
      <selection activeCell="L19" sqref="L19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14.28515625" bestFit="1" customWidth="1"/>
    <col min="5" max="5" width="14" bestFit="1" customWidth="1"/>
    <col min="6" max="6" width="39.140625" bestFit="1" customWidth="1"/>
    <col min="7" max="7" width="8" customWidth="1"/>
    <col min="8" max="8" width="12.28515625" bestFit="1" customWidth="1"/>
    <col min="9" max="10" width="12.28515625" customWidth="1"/>
  </cols>
  <sheetData>
    <row r="2" spans="2:11" x14ac:dyDescent="0.25">
      <c r="B2" t="s">
        <v>62</v>
      </c>
      <c r="C2" t="s">
        <v>61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63</v>
      </c>
      <c r="K2" t="s">
        <v>64</v>
      </c>
    </row>
    <row r="3" spans="2:11" x14ac:dyDescent="0.25">
      <c r="B3" t="str">
        <f>_xlfn.XLOOKUP(F3,'[1]non-gaming'!$G:$G,'[1]non-gaming'!$D:$D)</f>
        <v>DM8L5PA</v>
      </c>
      <c r="C3" s="2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1">
        <v>56990</v>
      </c>
      <c r="I3" s="1">
        <f>H3*0.85</f>
        <v>48441.5</v>
      </c>
      <c r="J3" s="1"/>
      <c r="K3" t="s">
        <v>65</v>
      </c>
    </row>
    <row r="4" spans="2:11" x14ac:dyDescent="0.25">
      <c r="B4" t="str">
        <f>_xlfn.XLOOKUP(F4,'[1]non-gaming'!$G:$G,'[1]non-gaming'!$D:$D)</f>
        <v>DJ8T8PA</v>
      </c>
      <c r="C4" s="2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1">
        <v>62990</v>
      </c>
      <c r="I4" s="1">
        <f t="shared" ref="I4:I23" si="0">H4*0.85</f>
        <v>53541.5</v>
      </c>
      <c r="J4" s="1"/>
      <c r="K4" t="s">
        <v>65</v>
      </c>
    </row>
    <row r="5" spans="2:11" x14ac:dyDescent="0.25">
      <c r="B5" t="str">
        <f>_xlfn.XLOOKUP(F5,'[1]non-gaming'!$G:$G,'[1]non-gaming'!$D:$D)</f>
        <v>DU5U6PA</v>
      </c>
      <c r="C5" s="2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1">
        <v>58990</v>
      </c>
      <c r="I5" s="1">
        <f t="shared" si="0"/>
        <v>50141.5</v>
      </c>
      <c r="J5" s="1"/>
      <c r="K5" t="s">
        <v>65</v>
      </c>
    </row>
    <row r="6" spans="2:11" x14ac:dyDescent="0.25">
      <c r="B6" t="str">
        <f>_xlfn.XLOOKUP(F6,'[1]non-gaming'!$G:$G,'[1]non-gaming'!$D:$D)</f>
        <v>DW4U8PA</v>
      </c>
      <c r="C6" s="2">
        <f>VLOOKUP(B6,'[2]ZMATINFO NB - 0924'!$N:$R,4,0)</f>
        <v>432115036898</v>
      </c>
      <c r="D6" t="s">
        <v>45</v>
      </c>
      <c r="E6" t="s">
        <v>57</v>
      </c>
      <c r="F6" t="s">
        <v>7</v>
      </c>
      <c r="G6" t="s">
        <v>8</v>
      </c>
      <c r="H6" s="1">
        <v>60990</v>
      </c>
      <c r="I6" s="1">
        <f t="shared" si="0"/>
        <v>51841.5</v>
      </c>
      <c r="J6" s="1">
        <f t="shared" ref="J6:J11" si="1">H6*0.8</f>
        <v>48792</v>
      </c>
      <c r="K6" t="s">
        <v>65</v>
      </c>
    </row>
    <row r="7" spans="2:11" x14ac:dyDescent="0.25">
      <c r="B7" t="str">
        <f>_xlfn.XLOOKUP(F7,'[1]non-gaming'!$G:$G,'[1]non-gaming'!$D:$D)</f>
        <v>DW4U9PA</v>
      </c>
      <c r="C7" s="2">
        <f>VLOOKUP(B7,'[2]ZMATINFO NB - 0924'!$N:$R,4,0)</f>
        <v>432115036899</v>
      </c>
      <c r="D7" t="s">
        <v>45</v>
      </c>
      <c r="E7" t="s">
        <v>57</v>
      </c>
      <c r="F7" t="s">
        <v>9</v>
      </c>
      <c r="G7" t="s">
        <v>10</v>
      </c>
      <c r="H7" s="1">
        <v>60990</v>
      </c>
      <c r="I7" s="1">
        <f t="shared" si="0"/>
        <v>51841.5</v>
      </c>
      <c r="J7" s="1">
        <f t="shared" si="1"/>
        <v>48792</v>
      </c>
      <c r="K7" t="s">
        <v>65</v>
      </c>
    </row>
    <row r="8" spans="2:11" x14ac:dyDescent="0.25">
      <c r="B8" t="str">
        <f>_xlfn.XLOOKUP(F8,'[1]non-gaming'!$G:$G,'[1]non-gaming'!$D:$D)</f>
        <v>DW7W9PA</v>
      </c>
      <c r="C8" s="2">
        <f>VLOOKUP(B8,'[2]ZMATINFO NB - 0924'!$N:$R,4,0)</f>
        <v>432115036900</v>
      </c>
      <c r="D8" t="s">
        <v>45</v>
      </c>
      <c r="E8" t="s">
        <v>57</v>
      </c>
      <c r="F8" t="s">
        <v>11</v>
      </c>
      <c r="G8" t="s">
        <v>12</v>
      </c>
      <c r="H8" s="1">
        <v>64990</v>
      </c>
      <c r="I8" s="1">
        <f t="shared" si="0"/>
        <v>55241.5</v>
      </c>
      <c r="J8" s="1">
        <f t="shared" si="1"/>
        <v>51992</v>
      </c>
      <c r="K8" t="s">
        <v>65</v>
      </c>
    </row>
    <row r="9" spans="2:11" x14ac:dyDescent="0.25">
      <c r="B9" t="str">
        <f>_xlfn.XLOOKUP(F9,'[1]non-gaming'!$G:$G,'[1]non-gaming'!$D:$D)</f>
        <v>DJ8T4PA</v>
      </c>
      <c r="C9" s="2">
        <f>VLOOKUP(B9,'[2]ZMATINFO NB - 0924'!$N:$R,4,0)</f>
        <v>432115036903</v>
      </c>
      <c r="D9" t="s">
        <v>46</v>
      </c>
      <c r="E9" t="s">
        <v>58</v>
      </c>
      <c r="F9" t="s">
        <v>13</v>
      </c>
      <c r="G9" t="s">
        <v>14</v>
      </c>
      <c r="H9" s="1">
        <v>85990</v>
      </c>
      <c r="I9" s="1">
        <f t="shared" si="0"/>
        <v>73091.5</v>
      </c>
      <c r="J9" s="1">
        <f t="shared" si="1"/>
        <v>68792</v>
      </c>
      <c r="K9" t="s">
        <v>65</v>
      </c>
    </row>
    <row r="10" spans="2:11" x14ac:dyDescent="0.25">
      <c r="B10" t="str">
        <f>_xlfn.XLOOKUP(F10,'[1]non-gaming'!$G:$G,'[1]non-gaming'!$D:$D)</f>
        <v>DX4J7PA</v>
      </c>
      <c r="C10" s="2">
        <f>VLOOKUP(B10,'[2]ZMATINFO NB - 0924'!$N:$R,4,0)</f>
        <v>432115036904</v>
      </c>
      <c r="D10" t="s">
        <v>47</v>
      </c>
      <c r="E10" t="s">
        <v>58</v>
      </c>
      <c r="F10" t="s">
        <v>15</v>
      </c>
      <c r="G10" t="s">
        <v>16</v>
      </c>
      <c r="H10" s="1">
        <v>87990</v>
      </c>
      <c r="I10" s="1">
        <f t="shared" si="0"/>
        <v>74791.5</v>
      </c>
      <c r="J10" s="1">
        <f t="shared" si="1"/>
        <v>70392</v>
      </c>
      <c r="K10" t="s">
        <v>65</v>
      </c>
    </row>
    <row r="11" spans="2:11" x14ac:dyDescent="0.25">
      <c r="B11" t="str">
        <f>_xlfn.XLOOKUP(F11,'[1]non-gaming'!$G:$G,'[1]non-gaming'!$D:$D)</f>
        <v>DU5R6PA</v>
      </c>
      <c r="C11" s="2">
        <f>VLOOKUP(B11,'[2]ZMATINFO NB - 0924'!$N:$R,4,0)</f>
        <v>432115036907</v>
      </c>
      <c r="D11" t="s">
        <v>48</v>
      </c>
      <c r="E11" t="s">
        <v>59</v>
      </c>
      <c r="F11" t="s">
        <v>17</v>
      </c>
      <c r="G11" t="s">
        <v>18</v>
      </c>
      <c r="H11" s="1">
        <v>80990</v>
      </c>
      <c r="I11" s="1">
        <f t="shared" si="0"/>
        <v>68841.5</v>
      </c>
      <c r="J11" s="1">
        <f t="shared" si="1"/>
        <v>64792</v>
      </c>
      <c r="K11" t="s">
        <v>65</v>
      </c>
    </row>
    <row r="12" spans="2:11" x14ac:dyDescent="0.25">
      <c r="B12" t="str">
        <f>_xlfn.XLOOKUP(F12,'[1]non-gaming'!$G:$G,'[1]non-gaming'!$D:$D)</f>
        <v>DU5S6PA</v>
      </c>
      <c r="C12" s="2">
        <f>VLOOKUP(B12,'[2]ZMATINFO NB - 0924'!$N:$R,4,0)</f>
        <v>432115036914</v>
      </c>
      <c r="D12" t="s">
        <v>49</v>
      </c>
      <c r="E12" t="s">
        <v>60</v>
      </c>
      <c r="F12" t="s">
        <v>19</v>
      </c>
      <c r="G12" t="s">
        <v>20</v>
      </c>
      <c r="H12" s="1">
        <v>103990</v>
      </c>
      <c r="I12" s="1">
        <f t="shared" si="0"/>
        <v>88391.5</v>
      </c>
      <c r="J12" s="1"/>
      <c r="K12" t="s">
        <v>65</v>
      </c>
    </row>
    <row r="13" spans="2:11" x14ac:dyDescent="0.25">
      <c r="B13" t="str">
        <f>_xlfn.XLOOKUP(F13,'[1]non-gaming'!$G:$G,'[1]non-gaming'!$D:$D)</f>
        <v>DU5S7PA</v>
      </c>
      <c r="C13" s="2">
        <f>VLOOKUP(B13,'[2]ZMATINFO NB - 0924'!$N:$R,4,0)</f>
        <v>432115036915</v>
      </c>
      <c r="D13" t="s">
        <v>49</v>
      </c>
      <c r="E13" t="s">
        <v>60</v>
      </c>
      <c r="F13" t="s">
        <v>21</v>
      </c>
      <c r="G13" t="s">
        <v>22</v>
      </c>
      <c r="H13" s="1">
        <v>113990</v>
      </c>
      <c r="I13" s="1">
        <f t="shared" si="0"/>
        <v>96891.5</v>
      </c>
      <c r="J13" s="1"/>
      <c r="K13" t="s">
        <v>65</v>
      </c>
    </row>
    <row r="14" spans="2:11" x14ac:dyDescent="0.25">
      <c r="B14" t="str">
        <f>_xlfn.XLOOKUP(F14,'[1]non-gaming'!$G:$G,'[1]non-gaming'!$D:$D)</f>
        <v>DU5T2PA</v>
      </c>
      <c r="C14" s="2">
        <f>VLOOKUP(B14,'[2]ZMATINFO NB - 0924'!$N:$R,4,0)</f>
        <v>432115036916</v>
      </c>
      <c r="D14" t="s">
        <v>49</v>
      </c>
      <c r="E14" t="s">
        <v>60</v>
      </c>
      <c r="F14" t="s">
        <v>23</v>
      </c>
      <c r="G14" t="s">
        <v>24</v>
      </c>
      <c r="H14" s="1">
        <v>138990</v>
      </c>
      <c r="I14" s="1">
        <f t="shared" si="0"/>
        <v>118141.5</v>
      </c>
      <c r="J14" s="1"/>
      <c r="K14" t="s">
        <v>65</v>
      </c>
    </row>
    <row r="15" spans="2:11" x14ac:dyDescent="0.25">
      <c r="B15" t="str">
        <f>_xlfn.XLOOKUP(F15,'[1]non-gaming'!$G:$G,'[1]non-gaming'!$D:$D)</f>
        <v>DU5S8PA</v>
      </c>
      <c r="C15" s="2">
        <f>VLOOKUP(B15,'[2]ZMATINFO NB - 0924'!$N:$R,4,0)</f>
        <v>432115036917</v>
      </c>
      <c r="D15" t="s">
        <v>49</v>
      </c>
      <c r="E15" t="s">
        <v>60</v>
      </c>
      <c r="F15" t="s">
        <v>25</v>
      </c>
      <c r="G15" t="s">
        <v>26</v>
      </c>
      <c r="H15" s="1">
        <v>159990</v>
      </c>
      <c r="I15" s="1">
        <f t="shared" si="0"/>
        <v>135991.5</v>
      </c>
      <c r="J15" s="1"/>
      <c r="K15" t="s">
        <v>65</v>
      </c>
    </row>
    <row r="16" spans="2:11" x14ac:dyDescent="0.25">
      <c r="B16" t="str">
        <f>_xlfn.XLOOKUP(F16,'[1]non-gaming'!$G:$G,'[1]non-gaming'!$D:$D)</f>
        <v>DU5T6PA</v>
      </c>
      <c r="C16" s="2">
        <f>VLOOKUP(B16,'[2]ZMATINFO NB - 0924'!$N:$R,4,0)</f>
        <v>432115036919</v>
      </c>
      <c r="D16" t="s">
        <v>50</v>
      </c>
      <c r="E16" t="s">
        <v>60</v>
      </c>
      <c r="F16" t="s">
        <v>27</v>
      </c>
      <c r="G16" t="s">
        <v>28</v>
      </c>
      <c r="H16" s="1">
        <v>101990</v>
      </c>
      <c r="I16" s="1">
        <f t="shared" si="0"/>
        <v>86691.5</v>
      </c>
      <c r="J16" s="1"/>
      <c r="K16" t="s">
        <v>65</v>
      </c>
    </row>
    <row r="17" spans="2:11" x14ac:dyDescent="0.25">
      <c r="B17" t="str">
        <f>_xlfn.XLOOKUP(F17,'[1]non-gaming'!$G:$G,'[1]non-gaming'!$D:$D)</f>
        <v>DU5S1PA</v>
      </c>
      <c r="C17" s="2">
        <f>VLOOKUP(B17,'[2]ZMATINFO NB - 0924'!$N:$R,4,0)</f>
        <v>432115036922</v>
      </c>
      <c r="D17" t="s">
        <v>49</v>
      </c>
      <c r="E17" t="s">
        <v>60</v>
      </c>
      <c r="F17" t="s">
        <v>29</v>
      </c>
      <c r="G17" t="s">
        <v>30</v>
      </c>
      <c r="H17" s="1">
        <v>112990</v>
      </c>
      <c r="I17" s="1">
        <f t="shared" si="0"/>
        <v>96041.5</v>
      </c>
      <c r="J17" s="1"/>
      <c r="K17" t="s">
        <v>65</v>
      </c>
    </row>
    <row r="18" spans="2:11" x14ac:dyDescent="0.25">
      <c r="B18" t="str">
        <f>_xlfn.XLOOKUP(F18,'[1]non-gaming'!$G:$G,'[1]non-gaming'!$D:$D)</f>
        <v>DU5S4PA</v>
      </c>
      <c r="C18" s="2">
        <f>VLOOKUP(B18,'[2]ZMATINFO NB - 0924'!$N:$R,4,0)</f>
        <v>432115036923</v>
      </c>
      <c r="D18" t="s">
        <v>49</v>
      </c>
      <c r="E18" t="s">
        <v>60</v>
      </c>
      <c r="F18" t="s">
        <v>31</v>
      </c>
      <c r="G18" t="s">
        <v>32</v>
      </c>
      <c r="H18" s="1">
        <v>122990</v>
      </c>
      <c r="I18" s="1">
        <f t="shared" si="0"/>
        <v>104541.5</v>
      </c>
      <c r="J18" s="1"/>
      <c r="K18" t="s">
        <v>65</v>
      </c>
    </row>
    <row r="19" spans="2:11" x14ac:dyDescent="0.25">
      <c r="B19" t="str">
        <f>_xlfn.XLOOKUP(F19,'[1]non-gaming'!$G:$G,'[1]non-gaming'!$D:$D)</f>
        <v>DU5S5PA</v>
      </c>
      <c r="C19" s="2">
        <f>VLOOKUP(B19,'[2]ZMATINFO NB - 0924'!$N:$R,4,0)</f>
        <v>432115036924</v>
      </c>
      <c r="D19" t="s">
        <v>49</v>
      </c>
      <c r="E19" t="s">
        <v>60</v>
      </c>
      <c r="F19" t="s">
        <v>33</v>
      </c>
      <c r="G19" t="s">
        <v>34</v>
      </c>
      <c r="H19" s="1">
        <v>169990</v>
      </c>
      <c r="I19" s="1">
        <f t="shared" si="0"/>
        <v>144491.5</v>
      </c>
      <c r="J19" s="1"/>
      <c r="K19" t="s">
        <v>65</v>
      </c>
    </row>
    <row r="20" spans="2:11" x14ac:dyDescent="0.25">
      <c r="B20" t="str">
        <f>_xlfn.XLOOKUP(F20,'[1]non-gaming'!$G:$G,'[1]non-gaming'!$D:$D)</f>
        <v>DU5T4PA</v>
      </c>
      <c r="C20" s="2">
        <f>VLOOKUP(B20,'[2]ZMATINFO NB - 0924'!$N:$R,4,0)</f>
        <v>432115036925</v>
      </c>
      <c r="D20" t="s">
        <v>50</v>
      </c>
      <c r="E20" t="s">
        <v>60</v>
      </c>
      <c r="F20" t="s">
        <v>35</v>
      </c>
      <c r="G20" t="s">
        <v>36</v>
      </c>
      <c r="H20" s="1">
        <v>106990</v>
      </c>
      <c r="I20" s="1">
        <f t="shared" si="0"/>
        <v>90941.5</v>
      </c>
      <c r="J20" s="1"/>
      <c r="K20" t="s">
        <v>65</v>
      </c>
    </row>
    <row r="21" spans="2:11" x14ac:dyDescent="0.25">
      <c r="B21" t="str">
        <f>_xlfn.XLOOKUP(F21,'[1]non-gaming'!$G:$G,'[1]non-gaming'!$D:$D)</f>
        <v>DW8J8PA</v>
      </c>
      <c r="C21" s="2">
        <f>VLOOKUP(B21,'[2]ZMATINFO NB - 0924'!$N:$R,4,0)</f>
        <v>432115036926</v>
      </c>
      <c r="D21" t="s">
        <v>50</v>
      </c>
      <c r="E21" t="s">
        <v>60</v>
      </c>
      <c r="F21" t="s">
        <v>37</v>
      </c>
      <c r="G21" t="s">
        <v>38</v>
      </c>
      <c r="H21" s="1">
        <v>109990</v>
      </c>
      <c r="I21" s="1">
        <f t="shared" si="0"/>
        <v>93491.5</v>
      </c>
      <c r="J21" s="1"/>
      <c r="K21" t="s">
        <v>65</v>
      </c>
    </row>
    <row r="22" spans="2:11" x14ac:dyDescent="0.25">
      <c r="B22" t="str">
        <f>_xlfn.XLOOKUP(F22,'[1]non-gaming'!$G:$G,'[1]non-gaming'!$D:$D)</f>
        <v>DU5T3PA</v>
      </c>
      <c r="C22" s="2">
        <f>VLOOKUP(B22,'[2]ZMATINFO NB - 0924'!$N:$R,4,0)</f>
        <v>432115036927</v>
      </c>
      <c r="D22" t="s">
        <v>50</v>
      </c>
      <c r="E22" t="s">
        <v>60</v>
      </c>
      <c r="F22" t="s">
        <v>39</v>
      </c>
      <c r="G22" t="s">
        <v>40</v>
      </c>
      <c r="H22" s="1">
        <v>158990</v>
      </c>
      <c r="I22" s="1">
        <f t="shared" si="0"/>
        <v>135141.5</v>
      </c>
      <c r="J22" s="1"/>
      <c r="K22" t="s">
        <v>65</v>
      </c>
    </row>
    <row r="23" spans="2:11" x14ac:dyDescent="0.25">
      <c r="B23" t="str">
        <f>_xlfn.XLOOKUP(F23,'[1]non-gaming'!$G:$G,'[1]non-gaming'!$D:$D)</f>
        <v>DM8L6PA</v>
      </c>
      <c r="C23" s="2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1">
        <v>57990</v>
      </c>
      <c r="I23" s="1">
        <f t="shared" si="0"/>
        <v>49291.5</v>
      </c>
      <c r="J23" s="1"/>
      <c r="K23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2026-09-28T11:00:30Z</dcterms:modified>
</cp:coreProperties>
</file>