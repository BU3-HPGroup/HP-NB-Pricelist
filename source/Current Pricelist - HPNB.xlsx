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st Pilot - HP Pricelist\"/>
    </mc:Choice>
  </mc:AlternateContent>
  <xr:revisionPtr revIDLastSave="0" documentId="13_ncr:1_{D509AB6F-3D85-420C-BFE6-340537F306B3}" xr6:coauthVersionLast="47" xr6:coauthVersionMax="47" xr10:uidLastSave="{00000000-0000-0000-0000-000000000000}"/>
  <bookViews>
    <workbookView xWindow="-98" yWindow="-98" windowWidth="21795" windowHeight="12975" xr2:uid="{46EB8EAC-1B53-4337-BC93-2BB462C6E864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8" i="1" l="1"/>
  <c r="K27" i="1"/>
  <c r="K26" i="1"/>
  <c r="K24" i="1"/>
  <c r="K4" i="1"/>
  <c r="K8" i="1" l="1"/>
  <c r="K7" i="1"/>
  <c r="K6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3" i="1"/>
  <c r="K11" i="1"/>
  <c r="K10" i="1"/>
  <c r="K9" i="1"/>
  <c r="B4" i="1" l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3" i="1"/>
  <c r="C3" i="1" s="1"/>
</calcChain>
</file>

<file path=xl/sharedStrings.xml><?xml version="1.0" encoding="utf-8"?>
<sst xmlns="http://schemas.openxmlformats.org/spreadsheetml/2006/main" count="235" uniqueCount="139">
  <si>
    <t>HP 15</t>
  </si>
  <si>
    <t>HP Laptop 15-fc0930AU</t>
  </si>
  <si>
    <t>HP Laptop Clamshell | Otto 23C1 | Ryzen 5-7530U (Copilot) | 8GB DDR4 1DM 3200 | 512GB PCIe Value | AMD Radeon Graphics | 15.6 FHD (1920x1080) AG ultraslim SVA 250 nits Narrow Border | OST W11H6 SL APACPPP | Natural Silver (FF+) - 720p TNR PVCY ST | 45 Watt (Copilot) | 2-2-2 | HP 2y 3d Onsite Bundle Opp NB SVC</t>
  </si>
  <si>
    <t>HP Laptop 15-fd1618TU</t>
  </si>
  <si>
    <t>HP Laptop Clamshell | Sebastian 24C1 | Core 5-120U (Copilot) | 8GB DDR4 1DM 3200 | 512GB PCIe value | Intel Graphics | 15.6 FHD (1920x1080) AG SVA 250 nits Narrow border ultraslim | OST W11H6 SL APACPPP | Natural Silver (FF+) - 1080p TNR PVCY ST | 45 Watt (Copilot) | 2-2-2 | HP 2y 3d Onsite Bundle Opp NB SVC</t>
  </si>
  <si>
    <t>HP Laptop 15-fc0947AU</t>
  </si>
  <si>
    <t>HP Laptop Clamshell | Otto 23C1 | Ryzen 7-7730U (Copilot) | 8GB DDR4 1DM 3200 | 512GB PCIe Value | AMD Radeon Graphics | 15.6 FHD (1920x1080) AG ultraslim SVA 250 nits Narrow Border | OST W11H6 PLS SL APACPPP | Natural Silver (FF+) - 1080p TNR PVCY ST | 45 Watt (Copilot) | 2-2-2 | HP 2y 3d Onsite Bundle Opp NB SVC</t>
  </si>
  <si>
    <t>HP OmniBook 3 AI PC 14-ht0144TU</t>
  </si>
  <si>
    <t>HP OmniBook 3 AI PC Clamshell | Abe-I 26C1 | Core 3 304 (5C) 15 NPU TOPs | 8GB DDR5 1DM 5600 | 512GB PCIe Gen4 Value | Intel Graphics | 14.0 2K (1920x1200) Antiglare IPS Low Power 300 nits | OST W11H6 SL APACPPP | Glacier Silver DF+ - 1080p TNR | 45 Watt USB-C GaN | 2-2-2 | HP 2y 3d Onsite Bundle Opp NB SVC</t>
  </si>
  <si>
    <t>HP OmniBook 3 AI PC 14-ht0145TU</t>
  </si>
  <si>
    <t>HP OmniBook 3 AI PC Clamshell | Abe-I 26C1 | Core 3 304 (5C) 15 NPU TOPs | 8GB DDR5 1DM 5600 | 512GB PCIe Gen4 Value | Intel Graphics | 14.0 2K (1920x1200) Antiglare IPS Low Power 300 nits | OST W11H6 SL APACPPP | Starlit Blue DF+ - 1080p TNR | 45 Watt USB-C GaN | 2-2-2| HP 2y 3d Onsite Bundle Opp NB SVC</t>
  </si>
  <si>
    <t>HP OmniBook 3 AI PC 14-ht0092TU</t>
  </si>
  <si>
    <t>HP OmniBook 3 Clamshell | Abe-I 26C1 | Core 5 315 (6C) 15 NPU TOPs | 8GB DDR5 1DM 5600 | 512GB PCIe Gen4 Value | Intel Graphics | 14.0 2K (1920x1200) Antiglare IPS Low Power 300 nits | OST W11H6 SL APACPPP | Glacier Silver DF+ - 1080p TNR | 45 Watt USB-C GaN | 2-2-2| HP 2y 3d Onsite Bundle Opp NB SVC</t>
  </si>
  <si>
    <t>HP OmniBook 5 14-hm0072AU</t>
  </si>
  <si>
    <t>HP OmniBook 5 Clamshell | Deso-A 26C1 | Ryzen AI 5 330 (4C) 50 NPU TOPs | 16GB LPDDR5X 8000 on-board | 512GB PCIe Gen4 Value | AMD Radeon 820M Graphics | Touch/14.0 2K (1920x1200) OLED Brightview Low Blue Light 300 nits | OST W11H6 NG STD SL APACPPP | Starlit Blue AI logo - 1080p IR TNR | 65 Watt USB-C GaN | 2-2-2 | HP 2y 3d Onsite Bundle Opp NB SVC</t>
  </si>
  <si>
    <t>HP OmniBook 5 AI PC 14-kf0002TU</t>
  </si>
  <si>
    <t>HP OmniBook 5 AI PC Clamshell | Deso-I 26C1 | Core 5 320 (6C) 16 NPU TOPs | 16GB LPDDR5X 7467 on-board | 512GB PCIe Gen4 value | Intel Graphics | Touch/14.0 2K (1920x1200) OLED Brightview Low Blue Light 300 nits | OST W11H6 PLS SL APACPPP | Glacier Silver - 1080p IR TNR | 65 Watt USB-C GaN | 2-2-2 | HP 2y 3d Onsite Bundle Opp NB SVC</t>
  </si>
  <si>
    <t>HP OmniBook 5 Flip 14-fp0162TU</t>
  </si>
  <si>
    <t>HP OmniBook 5 Flip x360 | Salute 25C1 | Core 5-120U (10C) | 8GB LPDDR5 5200 on-board | 512GB PCIe Gen4 Value | Intel Graphics | Touch/14.0 2K (1920x1200) IPS Low Power 300 nits | OST W11H6 SL APACPPP | Powder Pink - 5MP IR TNR PVCY ST | 65 Watt USB C | 2-2-2 | HP 2y 3d Onsite Bundle Opp NB SVC</t>
  </si>
  <si>
    <t>HP OmniBook X Flip NG AI PC 14-kb0105TU</t>
  </si>
  <si>
    <t>HP OmniBook X Flip NG AI PC x360 | Kento-I 26C1 | Ultra 5 325 (8C) 47 NPU TOPs | 16GB LPDDR5X 7467 on-board | 512GB PCIe Gen4 Value | Intel Graphics | Touch/14.0 2K (1920x1200) Brightview 400 nits | OST W11H6 NG STD SL APACPPP | Meteor Silver - 5MP IR TNR | 65 Watt USB-C Wall-Mount GaN (Fixed) | 2-2-2 | HP 2y 3d Onsite Bundle Medium NB SVC</t>
  </si>
  <si>
    <t>HP OmniBook X Flip NG AI PC 14-kb0106TU</t>
  </si>
  <si>
    <t>HP OmniBook X Flip NG AI PC x360 | Kento-I 26C1 | Ultra 7 355 (8C) 49 NPU TOPs | 16GB LPDDR5X 7467 on-board | 512GB PCIe Gen4 Value | Intel Graphics | Touch/14.0 2K (1920x1200) Brightview 400 nits | OST W11H6 NG PRE SL APACPPP | Meteor Silver - 5MP IR TNR | 65 Watt USB-C Wall-Mount GaN (Fixed) | 2-2-2 | HP 2y 3d Onsite Bundle Medium NB SVC</t>
  </si>
  <si>
    <t>HP OmniBook X Flip NG AI PC 14-kb0112TU</t>
  </si>
  <si>
    <t>HP OmniBook X Flip NG AI PC x360 | Kento-I 26C1 | Ultra 7 355 (8C) 49 NPU TOPs | 24GB LPDDR5X 6800 on-board | 1TB PCIe Gen4 Value | Intel Graphics | Touch/14.0 2K (1920x1200) Brightview 400 nits | OST W11H6 NG PRE SL APACPPP | Meteor Silver - 5MP IR TNR | 65 Watt USB-C Wall-Mount GaN (Fixed) | 2-2-2 | HP 2y 3d Onsite Bundle Medium NB SVC</t>
  </si>
  <si>
    <t>HP OmniBook X Flip NG AI PC 14-kb0107TU</t>
  </si>
  <si>
    <t>HP OmniBook X Flip NG AI PC x360 | Kento-I 26C1 | Ultra 9 386H (16C) 50 NPU TOPs | 32GB LPDDR5X 8533 on-board | 1TB PCIe Gen4 Value | Intel Graphics | Touch/14.0 2K (1920x1200) Brightview 400 nits | OST W11H6 NG PRE SL APACPPP | Meteor Silver - 5MP IR TNR | 65 Watt USB-C Wall-Mount GaN (Fixed) | 2-2-2| HP 2y 3d Onsite Bundle Medium NB SVC</t>
  </si>
  <si>
    <t>HP OmniBook X Flip NG AI PC 14-kc0081AU</t>
  </si>
  <si>
    <t>HP OmniBook X Flip NG AI PC x360 | Kento-A 26C1 | Ryzen AI 7 445 (6C) 50 NPU TOPs | 16GB LPDDR5X 8000 on-board | 512GB PCIe Gen4 Value | AMD Radeon 840M Graphics | Touch/14.0 2K (1920x1200) Brightview 400 nits | OST W11H6 NG PRE SL APACPPP | Deep Espresso - 5MP IR TNR | 65 Watt USB-C Wall-Mount GaN (Fixed) | 2-2-2 | HP 2y 3d Onsite Bundle Medium NB SVC</t>
  </si>
  <si>
    <t>HP OmniBook X Flip NG AI PC 14-kb0100TU</t>
  </si>
  <si>
    <t>HP OmniBook X Flip NG AI PC x360 | Kento-I 26C1 | Ultra 5 325 (8C) 47 NPU TOPs | 16GB LPDDR5X 7467 on-board | 512GB PCIe Gen4 Value | Intel Graphics | Touch/14.0 3K (2880x1800) OLED Brightview Low Blue Light VRR 120Hz 500 nits | OST W11H6 NG STD SL APACPPP | Athmospheric Blue - 5MP IR TNR | 65 Watt USB-C Wall-Mount GaN (Fixed) | 2-2-2| HP 2y 3d Onsite Bundle Medium NB SVC</t>
  </si>
  <si>
    <t>HP OmniBook X Flip NG AI PC 14-kb0101TU</t>
  </si>
  <si>
    <t>HP OmniBook X Flip NG AI PC x360 | Kento-I 26C1 | Ultra 7 355 (8C) 49 NPU TOPs | 16GB LPDDR5X 7467 on-board | 512GB PCIe Gen4 Value | Intel Graphics | Touch/14.0 3K (2880x1800) OLED Brightview Low Blue Light VRR 120Hz 500 nits | OST W11H6 NG PRE SL APACPPP | Athmospheric Blue - 5MP IR TNR | 65 Watt USB-C Wall-Mount GaN (Fixed) | 2-2-2 | HP 2y 3d Onsite Bundle Medium NB SVC</t>
  </si>
  <si>
    <t>HP OmniBook X Flip NG AI PC 14-kb0102TU</t>
  </si>
  <si>
    <t>HP OmniBook X Flip NG AI PC x360 | Kento-I 26C1 | Ultra 9 386H (16C) 50 NPU TOPs | 32GB LPDDR5X 8533 on-board | 1TB PCIe Gen4 Value | Intel Graphics | Touch/14.0 3K (2880x1800) OLED Brightview Low Blue Light VRR 120Hz 500 nits | OST W11H6 NG PRE SL APACPPP | Athmospheric Blue - 5MP IR TNR | 65 Watt USB-C Wall-Mount GaN (Fixed) | 2-2-2 | HP 2y 3d Onsite Bundle Medium NB SVC</t>
  </si>
  <si>
    <t>HP OmniBook X Flip NG AI PC 14-kc0079AU</t>
  </si>
  <si>
    <t>HP OmniBook X Flip NG AI PC x360 | Kento-A 26C1 | Ryzen AI 5 430 (4C) 50 NPU TOPs | 16GB LPDDR5X 8000 on-board | 512GB PCIe Gen4 Value | AMD Radeon 840M Graphics | Touch/14.0 3K (2880x1800) OLED Brightview Low Blue Light VRR 120Hz 500 nits | OST W11H6 NG STD SL APACPPP | Athmospheric Blue - 5MP IR TNR | 65 Watt USB-C Wall-Mount GaN (Fixed) | 2-2-2 | HP 2y 3d Onsite Bundle Medium NB SVC</t>
  </si>
  <si>
    <t>HP OmniBook X Flip NG AI PC 14-kc0039AU</t>
  </si>
  <si>
    <t>HP OmniBook X Flip NG AI PC x360 | Kento-A 26C1 | Ryzen AI 7 445 (6C) 50 NPU TOPs | 16GB LPDDR5X 8000 on-board | 512GB PCIe Gen4 Value | AMD Radeon 840M Graphics | Touch/14.0 3K (2880x1800) OLED Brightview Low Blue Light VRR 120Hz 500 nits | OST W11H6 NG PRE SL APACPPP | Athmospheric Blue - 5MP IR TNR | 65 Watt USB-C Wall-Mount GaN (Fixed) | 2-2-2 | HP 2y 3d Onsite Bundle Medium NB SVC</t>
  </si>
  <si>
    <t>HP OmniBook X Flip NG AI PC 14-kc0078AU</t>
  </si>
  <si>
    <t>HP OmniBook X Flip NG AI PC x360 | Kento-A 26C1 | Ryzen AI 9 465 (10C) 50 NPU TOPs | 32GB LPDDR5X 8533 on-board | 1TB PCIe Gen4 Value | AMD Radeon 880M Graphics | Touch/14.0 3K (2880x1800) OLED Brightview Low Blue Light VRR 120Hz 500 nits | OST W11H6 NG PRE SL APACPPP | Athmospheric Blue - 5MP IR TNR | 65 Watt USB-C Wall-Mount GaN (Fixed) | 2-2-2 | HP 2y 3d Onsite Bundle Medium NB SVC</t>
  </si>
  <si>
    <t>HP Laptop 15-fc0932AU</t>
  </si>
  <si>
    <t>HP Laptop Clamshell | Otto 23C1 | Ryzen 7-7730U (Copilot) | 8GB DDR4 1DM 3200 | 256GB PCIe Value | AMD Radeon Graphics | 15.6 FHD (1920x1080) AG ultraslim SVA 250 nits Narrow Border | OST W11H6 PLS SL APACPPP | Natural Silver (FF+) - 1080p TNR PVCY ST | 45 Watt (Copilot) | WARR 1/1/0 A/P | HP 2y 3d Onsite Bundle Opp NB SVC</t>
  </si>
  <si>
    <t>Otto 23C1</t>
  </si>
  <si>
    <t>Sebastian 24C1</t>
  </si>
  <si>
    <t>AbeI26C1</t>
  </si>
  <si>
    <t>DesoA</t>
  </si>
  <si>
    <t>Deso I</t>
  </si>
  <si>
    <t>Salute 25C1</t>
  </si>
  <si>
    <t>KentoI-26C1</t>
  </si>
  <si>
    <t>KentoA 26C1</t>
  </si>
  <si>
    <t>Platform</t>
  </si>
  <si>
    <t>Type</t>
  </si>
  <si>
    <t>Model</t>
  </si>
  <si>
    <t>Specs</t>
  </si>
  <si>
    <t>SRP</t>
  </si>
  <si>
    <t>DP</t>
  </si>
  <si>
    <t>Omnibook 3</t>
  </si>
  <si>
    <t>Omnibook 5</t>
  </si>
  <si>
    <t>Omnibook 5 Flip</t>
  </si>
  <si>
    <t>Omnibook X Flip</t>
  </si>
  <si>
    <t>Material Number</t>
  </si>
  <si>
    <t>Part Number</t>
  </si>
  <si>
    <t>Promo DP</t>
  </si>
  <si>
    <t>Status</t>
  </si>
  <si>
    <t>Onhand</t>
  </si>
  <si>
    <t>E47WNPA</t>
  </si>
  <si>
    <t>E47WPPA</t>
  </si>
  <si>
    <t>E2HE2PA</t>
  </si>
  <si>
    <t>E2HE3PA</t>
  </si>
  <si>
    <t>E4PN6PA</t>
  </si>
  <si>
    <t>E6GG0PA</t>
  </si>
  <si>
    <t>E6GG2PA</t>
  </si>
  <si>
    <t>E47WMPA</t>
  </si>
  <si>
    <t>E6RZ4PA</t>
  </si>
  <si>
    <t>E6RZ5PA</t>
  </si>
  <si>
    <t>E6GG8PA</t>
  </si>
  <si>
    <t>E47WSPA</t>
  </si>
  <si>
    <t>E6GG9PA</t>
  </si>
  <si>
    <t>E2HE0PA</t>
  </si>
  <si>
    <t>E2HE1PA</t>
  </si>
  <si>
    <t>E5MC6PA</t>
  </si>
  <si>
    <t>E5MC7PA</t>
  </si>
  <si>
    <t>Abe-I 26C1</t>
  </si>
  <si>
    <t>Abe-A 26C1</t>
  </si>
  <si>
    <t>Bantie-I 26C1</t>
  </si>
  <si>
    <t>Bantie-A 26C1</t>
  </si>
  <si>
    <t>Agusta 26C1</t>
  </si>
  <si>
    <t>Truevalue</t>
  </si>
  <si>
    <t>HP Laptop 15-fc0289AU</t>
  </si>
  <si>
    <t>HP Laptop 15-fc0523AU</t>
  </si>
  <si>
    <t>HP Laptop 15-fd1655TU</t>
  </si>
  <si>
    <t>HP Laptop 15-fd1656TU</t>
  </si>
  <si>
    <t>HP Laptop 15-fc0998AU</t>
  </si>
  <si>
    <t>HP OmniBook 3 AI PC 14-ht0270TU</t>
  </si>
  <si>
    <t>HP OmniBook 3 AI PC 14-ht0271TU</t>
  </si>
  <si>
    <t>HP OmniBook 3 14-hy0100AU</t>
  </si>
  <si>
    <t>HP OmniBook 3 16-bu0397TU</t>
  </si>
  <si>
    <t>HP OmniBook 3 16-bu0398TU</t>
  </si>
  <si>
    <t>HP OmniBook 3 16-by0121AU</t>
  </si>
  <si>
    <t>HP OmniBook 3 16-bu0384TU</t>
  </si>
  <si>
    <t>HP OmniBook 3 16-bu0393TU</t>
  </si>
  <si>
    <t>HP OmniBook 7 NG AI PC 14-hg0079TU</t>
  </si>
  <si>
    <t>HP OmniBook 7 NG AI PC 14-hg0080TU</t>
  </si>
  <si>
    <t>HP OmniBook X Flip NG AI PC 14-fm0206TU</t>
  </si>
  <si>
    <t>HP OmniBook X Flip NG AI PC 14-fm0208TU</t>
  </si>
  <si>
    <t>HP Laptop Clamshell | Otto 23C1 | Ryzen 5-7520U (Copilot) | 8GB 5500 LPDDR5 on-board | 512GB PCIe Value | AMD Radeon Graphics | 15.6 FHD (1920x1080) AG ultraslim SVA 250 nits Narrow Border  | Natural Silver (FF+) - 720p TNR PVCY ST | 45 Watt (Copilot) | 2-2-2 | HP 2y 3d Onsite Bundle Opp NB SVC Win 11 Home | MS Office Home 2024 Philippines + 1yr M365 Basic</t>
  </si>
  <si>
    <t>HP Laptop Clamshell | Otto 23C1 | Ryzen 5-7520U (Copilot) | 16GB 5500 LPDDR5 on-board | 512GB PCIe Value | AMD Radeon Graphics | 15.6 FHD (1920x1080) AG ultraslim SVA 250 nits Narrow Border | Natural Silver (FF+) - 720p TNR PVCY ST | 45 Watt (Copilot) | 2-2-2| HP 2y 3d Onsite Bundle Opp NB SVC |Win 11 Home | MS Office Home 2024 Philippines + 1yr M365 Basic</t>
  </si>
  <si>
    <t>HP Laptop Clamshell | Sebastian 24C1 | Core 5-120U (Copilot) | 8GB DDR4 1DM 3200 | 512GB PCIe value | Intel Graphics | 15.6 FHD (1920x1080) AG SVA 250 nits Narrow border ultraslim  | Natural Silver (FF+) - 1080p TNR PVCY ST | 45 Watt (Copilot) |2-2-2 | HP 2y 3d Onsite Bundle Opp NB SVC  |Win 11 Home | MS Office Home 2024 Philippines + 1yr M365 Basic</t>
  </si>
  <si>
    <t>HP Laptop Clamshell | Sebastian 24C1 | Core 5-120U (Copilot) | 16GB DDR4 2DM 3200 | 512GB PCIe value | Intel Graphics | 15.6 FHD (1920x1080) AG SVA 250 nits Narrow border ultraslim | OST W11H6 PLS SL APACPPP | Natural Silver (FF+) - 1080p TNR PVCY ST | 45 Watt (Copilot) | WARR 1/1/0 A/P | HP 2y 3d Onsite Bundle Opp NB SVC</t>
  </si>
  <si>
    <t>HP Laptop Clamshell | Otto 23C1 | Ryzen 7-7730U (Copilot) | 8GB DDR4 1DM 3200 | 512GB PCIe Value | AMD Radeon Graphics | 15.6 FHD (1920x1080) AG ultraslim SVA 250 nits Narrow Border  | Natural Silver (FF+) - 720p TNR PVCY ST | 45 Watt (Copilot) |2-2-2 | HP 2y 3d Onsite Bundle Opp NB SVC |Win 11 Home | MS Office Home 2024 Philippines + 1yr M365 Basic</t>
  </si>
  <si>
    <t>HP OmniBook 3 AI PC Clamshell | Abe-I 26C1 | Core 3 304 (5C) 15 NPU TOPs | 8GB DDR5 1DM 5600 | 512GB PCIe Gen4 Value | Intel Graphics | 14.0 2K (1920x1200) Antiglare IPS Low Power 300 nits | Glacier Silver DF+ - 1080p TNR | 45 Watt USB-C GaN |2-2-2| HP 2y 3d Onsite Bundle Opp NB SVC  |Win 11 Home | MS Office Home 2024 Philippines + 1yr M365 Basic</t>
  </si>
  <si>
    <t>HP OmniBook 3 AI PC Clamshell | Abe-I 26C1 | Core 3 304 (5C) 15 NPU TOPs | 8GB DDR5 1DM 5600 | 512GB PCIe Gen4 Value | Intel Graphics | 14.0 2K (1920x1200) Antiglare IPS Low Power 300 nits  | Starlit Blue DF+ - 1080p TNR | 45 Watt USB-C GaN | 2-2-2 | HP 2y 3d Onsite Bundle Opp NB SVC |Win 11 Home | MS Office Home 2024 Philippines + 1yr M365 Basic</t>
  </si>
  <si>
    <t>HP OmniBook 3 Clamshell | Abe-A 26C1 | Ryzen 5 130 (6C) | 8GB DDR5 1DM 4800 | 512GB PCIe Gen4 Value | AMD Radeon 660M Graphics | 14.0 2K (1920x1200) Antiglare IPS Low Power 300 nits | Mica Silver DF+ - 1080p TNR | 45 Watt USB-C GaN | 2-2-2 | HP 2y 3d Onsite Bundle Opp NB SVC |Win 11 Home | MS Office Home 2024 Philippines + 1yr M365 Basic</t>
  </si>
  <si>
    <t>HP OmniBook 3 Clamshell | Bantie-I 26C1 | Core 5 315 (6C) 15 NPU TOPs | 16GB LPDDR5X 7467 on-board | 512GB PCIe Gen4 Value | Intel Graphics | 16.0 2K (1920x1200) Antiglare IPS 300 nits | OST W11H6 PLS SL APACPPP | Glacier Silver DF+ - 1080p TNR | 45 Watt USB-C GaN | 2-2-2 | HP 2y 3d Onsite Bundle Opp NB SVC</t>
  </si>
  <si>
    <t>HP OmniBook 3 Clamshell | Bantie-I 26C1 | Core 5 315 (6C) 15 NPU TOPs | 16GB LPDDR5X 7467 on-board | 512GB PCIe Gen4 Value | Intel Graphics | 16.0 2K (1920x1200) Antiglare IPS 300 nits | Starlit Blue DF+ - 1080p TNR | 45 Watt USB-C GaN | 2-2-2 | HP 2y 3d Onsite Bundle Opp NB SVC |Win 11 Home | MS Office Home 2024 Philippines + 1yr M365 Basic</t>
  </si>
  <si>
    <t>HP OmniBook 3 Clamshell | Bantie-A 26C1 | Ryzen 5 130 (6C) | 16GB DDR5 1DM 4800 | 512GB PCIe Gen4 Value | AMD Radeon 660M Graphics | 16.0 2K (1920x1200) Antiglare IPS 300 nits | Glacier Silver DF+ - 1080p TNR | 45 Watt USB-C GaN | 2-2-2 | HP 2y 3d Onsite Bundle Opp NB SVC |Win 11 Home | MS Office Home 2024 Philippines + 1yr M365 Basic</t>
  </si>
  <si>
    <t>HP OmniBook 3 Clamshell | Bantie-I 26C1 | Core 7 350 (6C) 17 NPU TOPs | 16GB DDR5 1DM 5600 | 512GB PCIe Gen4 Value | Intel Graphics | 16.0 2K (1920x1200) Antiglare IPS 300 nits | Glacier Silver DF+ - 1080p TNR | 45 Watt USB-C GaN | 2-2-2 | HP 2y 3d Onsite Bundle Opp NB SVC |Win 11 Home | MS Office Home 2024 Philippines + 1yr M365 Basic</t>
  </si>
  <si>
    <t>HP OmniBook 3 Clamshell | Bantie-I 26C1 | Core 7 350 (6C) 17 NPU TOPs | 16GB DDR5 1DM 5600 | 512GB PCIe Gen4 Value | Intel Graphics | 16.0 2K (1920x1200) Antiglare IPS 300 nits  | Starlit Blue DF+ - 1080p TNR | 45 Watt USB-C GaN | 2-2-2 | HP 2y 3d Onsite Bundle Opp NB SVC |Win 11 Home | MS Office Home 2024 Philippines + 1yr M365 Basic</t>
  </si>
  <si>
    <t>HP OmniBook 7 NG AI PC Clamshell | Agusta 26C1 | Ultra X7 358H (16C) 50 NPU TOPs | 32GB LPDDR5X 8533 on-board | 512GB PCIe Gen4 Value | Intel Arc Pro B390 | 14.0 2K (1920x1200) OLED Brightview Low Blue Light 300 nits | Meteor Silver - 5MP IR TNR | 100 Watt USB-C Wall-Mount GaN | 2-2-2 | HP 2y 3d Onsite Bundle Medium NB SVC |Win 11 Home | MS Office Home 2024 Philippines + 1yr M365 Basic</t>
  </si>
  <si>
    <t>HP OmniBook 7 NG AI PC Clamshell | Agusta 26C1 | Ultra X7 358H (16C) 50 NPU TOPs | 32GB LPDDR5X 8533 on-board | 512GB PCIe Gen4 Value | Intel Arc Pro B390 | 14.0 2K (1920x1200) OLED Brightview Low Blue Light 300 nits  | Powder Pink - 5MP IR TNR | 100 Watt USB-C Wall-Mount GaN | 2-2-2 | HP 2y 3d Onsite Bundle Medium NB SVC |Win 11 Home | MS Office Home 2024 Philippines + 1yr M365 Basic</t>
  </si>
  <si>
    <t>HP OmniBook X Flip NG AI PC x360 | Cadet 25C1 | Ultra 7-256V (8C) 47 NPU TOPs | 16GB LPDDR5X 8533 on-board | 512GB PCIe Gen4 Value | Intel Arc 140V GPU | Touch/14.0 2K (1920x1200) IPS 400 nits | Atmospheric Blue AI logo - 5MP IR PVCY ST | 65 Watt USB C | 2-2-2 | HP 2y 3d Onsite Bundle Medium NB SVC |Win 11 Home | MS Office Home 2024 Philippines + 1yr M365 Basic</t>
  </si>
  <si>
    <t>HP OmniBook X Flip NG AI PC x360 | Cadet 25C1 | Ultra 7-256V (8C) 47 NPU TOPs | 16GB LPDDR5X 8533 on-board | 512GB PCIe Gen4 Value | Intel Arc 140V GPU | Touch/14.0 2K (1920x1200) IPS 400 nits | OST W11H6 NG PRE SL APACPPP | Meteor Silver AI logo - 5MP IR PVCY ST | 65 Watt USB C | 2-2-2 | HP 2y 3d Onsite Bundle Medium NB SVC</t>
  </si>
  <si>
    <t>Omnibook 7</t>
  </si>
  <si>
    <t>Incoming</t>
  </si>
  <si>
    <t>Order Basis</t>
  </si>
  <si>
    <t>Promo SRP</t>
  </si>
  <si>
    <t>Comments</t>
  </si>
  <si>
    <t>Maximum 50 units only until Oct 31, 2026</t>
  </si>
  <si>
    <t>Maximum 350 units only until Oct 31, 2026</t>
  </si>
  <si>
    <t>Probook</t>
  </si>
  <si>
    <t>U5-225U 8GB 256GB W11 HOME 1/1/1 WS BUS</t>
  </si>
  <si>
    <t>HP Probook 4 G1I 14 AI Commercial On Retail</t>
  </si>
  <si>
    <t>s</t>
  </si>
  <si>
    <t>Don’t Offer Yet - For everyone's reference only</t>
  </si>
  <si>
    <t>Maximum 20 units only until Oct 31, 2026</t>
  </si>
  <si>
    <t>Maximum 10 units only until Oct 31, 2026</t>
  </si>
  <si>
    <t>No Available Promo priced units as of Oct 13, 2026</t>
  </si>
  <si>
    <t>Until Oct 31, 2026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</si>
</sst>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43" fontId="0" fillId="0" borderId="0" xfId="1" applyFont="1"/>
    <xf numFmtId="1" fontId="0" fillId="0" borderId="0" xfId="0" applyNumberFormat="1"/>
    <xf numFmtId="0" fontId="2" fillId="0" borderId="1" xfId="1" applyNumberFormat="1" applyFont="1" applyFill="1" applyBorder="1" applyAlignment="1">
      <alignment horizontal="left" vertical="top"/>
    </xf>
    <xf numFmtId="0" fontId="2" fillId="0" borderId="0" xfId="1" applyNumberFormat="1" applyFont="1" applyAlignment="1">
      <alignment horizontal="left" vertical="center"/>
    </xf>
    <xf numFmtId="0" fontId="2" fillId="0" borderId="1" xfId="1" applyNumberFormat="1" applyFont="1" applyBorder="1" applyAlignment="1">
      <alignment horizontal="left" vertical="center"/>
    </xf>
    <xf numFmtId="0" fontId="2" fillId="0" borderId="1" xfId="1" applyNumberFormat="1" applyFont="1" applyBorder="1" applyAlignment="1">
      <alignment horizontal="left" vertical="top"/>
    </xf>
    <xf numFmtId="0" fontId="2" fillId="0" borderId="2" xfId="1" applyNumberFormat="1" applyFont="1" applyFill="1" applyBorder="1" applyAlignment="1">
      <alignment horizontal="left" vertical="center"/>
    </xf>
    <xf numFmtId="0" fontId="2" fillId="0" borderId="1" xfId="2" applyNumberFormat="1" applyFont="1" applyFill="1" applyBorder="1" applyAlignment="1">
      <alignment horizontal="left" vertical="top"/>
    </xf>
    <xf numFmtId="0" fontId="2" fillId="0" borderId="3" xfId="1" applyNumberFormat="1" applyFont="1" applyFill="1" applyBorder="1" applyAlignment="1">
      <alignment horizontal="left" vertical="top"/>
    </xf>
    <xf numFmtId="0" fontId="2" fillId="0" borderId="0" xfId="1" applyNumberFormat="1" applyFont="1" applyAlignment="1">
      <alignment horizontal="left" vertical="top"/>
    </xf>
    <xf numFmtId="0" fontId="2" fillId="0" borderId="0" xfId="1" applyNumberFormat="1" applyFont="1" applyBorder="1" applyAlignment="1">
      <alignment horizontal="left" vertical="top"/>
    </xf>
    <xf numFmtId="0" fontId="2" fillId="0" borderId="2" xfId="1" applyNumberFormat="1" applyFont="1" applyFill="1" applyBorder="1" applyAlignment="1">
      <alignment horizontal="left" vertical="top"/>
    </xf>
    <xf numFmtId="0" fontId="2" fillId="0" borderId="4" xfId="1" applyNumberFormat="1" applyFont="1" applyFill="1" applyBorder="1" applyAlignment="1">
      <alignment horizontal="left" vertical="top"/>
    </xf>
    <xf numFmtId="43" fontId="3" fillId="2" borderId="1" xfId="1" applyFont="1" applyFill="1" applyBorder="1" applyAlignment="1">
      <alignment horizontal="center" vertical="top"/>
    </xf>
    <xf numFmtId="43" fontId="3" fillId="0" borderId="1" xfId="1" applyFont="1" applyFill="1" applyBorder="1" applyAlignment="1">
      <alignment horizontal="center" vertical="top"/>
    </xf>
    <xf numFmtId="43" fontId="4" fillId="0" borderId="1" xfId="1" applyFont="1" applyBorder="1" applyAlignment="1">
      <alignment horizontal="center" vertical="top"/>
    </xf>
    <xf numFmtId="43" fontId="0" fillId="0" borderId="0" xfId="0" applyNumberFormat="1"/>
  </cellXfs>
  <cellStyles count="3">
    <cellStyle name="Comma" xfId="1" builtinId="3"/>
    <cellStyle name="Comma 2 3" xfId="2" xr:uid="{2BCE3A47-9942-4B9C-8662-0B6C23B0585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rvimaxtech-my.sharepoint.com/personal/jhonedcel_nolasco_mailgateways_com/Documents/Q326%20CPS%20Iontech%20NB%20and%20Gaming%20Order%20Plan%20(With%20Promo%20Packages).xlsx" TargetMode="External"/><Relationship Id="rId1" Type="http://schemas.openxmlformats.org/officeDocument/2006/relationships/externalLinkPath" Target="https://servimaxtech-my.sharepoint.com/personal/jhonedcel_nolasco_mailgateways_com/Documents/Q326%20CPS%20Iontech%20NB%20and%20Gaming%20Order%20Plan%20(With%20Promo%20Packages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honedcel_nolasco\Documents\ZMATINFO%20NB%20-%200924.xls" TargetMode="External"/><Relationship Id="rId1" Type="http://schemas.openxmlformats.org/officeDocument/2006/relationships/externalLinkPath" Target="file:///C:\Users\jhonedcel_nolasco\Documents\ZMATINFO%20NB%20-%2009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n-gaming"/>
      <sheetName val="Package"/>
      <sheetName val="Exclusive LNL"/>
      <sheetName val="gaming"/>
      <sheetName val="Sheet1"/>
    </sheetNames>
    <sheetDataSet>
      <sheetData sheetId="0">
        <row r="3">
          <cell r="D3" t="str">
            <v>Part Number</v>
          </cell>
          <cell r="G3" t="str">
            <v>PRODUCT DESCRIPTION</v>
          </cell>
        </row>
        <row r="4">
          <cell r="D4" t="str">
            <v>DM8L7PA</v>
          </cell>
          <cell r="G4" t="str">
            <v>HP Laptop 15-fc0933AU</v>
          </cell>
        </row>
        <row r="5">
          <cell r="D5" t="str">
            <v>DM8L9PA</v>
          </cell>
          <cell r="G5" t="str">
            <v>HP Laptop 15-fd0982TU</v>
          </cell>
        </row>
        <row r="6">
          <cell r="D6" t="str">
            <v>E2HE4PA</v>
          </cell>
          <cell r="G6" t="str">
            <v>HP Laptop 15-fd1657TU</v>
          </cell>
        </row>
        <row r="7">
          <cell r="D7" t="str">
            <v>DM8L5PA</v>
          </cell>
          <cell r="G7" t="str">
            <v>HP Laptop 15-fc0930AU</v>
          </cell>
        </row>
        <row r="8">
          <cell r="D8" t="str">
            <v>DJ8T8PA</v>
          </cell>
          <cell r="G8" t="str">
            <v>HP Laptop 15-fd1618TU</v>
          </cell>
        </row>
        <row r="9">
          <cell r="D9" t="str">
            <v>E2HE3PA</v>
          </cell>
          <cell r="G9" t="str">
            <v>HP Laptop 15-fd1656TU</v>
          </cell>
        </row>
        <row r="10">
          <cell r="D10" t="str">
            <v>DM8L4PA</v>
          </cell>
          <cell r="G10" t="str">
            <v>HP Laptop 15-fc0874AU</v>
          </cell>
        </row>
        <row r="11">
          <cell r="D11" t="str">
            <v>DM8L6PA</v>
          </cell>
          <cell r="G11" t="str">
            <v>HP Laptop 15-fc0932AU</v>
          </cell>
        </row>
        <row r="12">
          <cell r="D12" t="str">
            <v>DU5U6PA</v>
          </cell>
          <cell r="G12" t="str">
            <v>HP Laptop 15-fc0947AU</v>
          </cell>
        </row>
        <row r="13">
          <cell r="D13" t="str">
            <v>E2ER0PA</v>
          </cell>
          <cell r="G13" t="str">
            <v>HP Laptop 15-fc0955AU</v>
          </cell>
        </row>
        <row r="14">
          <cell r="D14" t="str">
            <v>DW4U8PA</v>
          </cell>
          <cell r="G14" t="str">
            <v>HP OmniBook 3 AI PC 14-ht0144TU</v>
          </cell>
        </row>
        <row r="15">
          <cell r="D15" t="str">
            <v>DW4U9PA</v>
          </cell>
          <cell r="G15" t="str">
            <v>HP OmniBook 3 AI PC 14-ht0145TU</v>
          </cell>
        </row>
        <row r="16">
          <cell r="D16" t="str">
            <v>DW7W9PA</v>
          </cell>
          <cell r="G16" t="str">
            <v>HP OmniBook 3 AI PC 14-ht0092TU</v>
          </cell>
        </row>
        <row r="17">
          <cell r="D17" t="str">
            <v>E08ZLPA</v>
          </cell>
          <cell r="G17" t="str">
            <v>HP OmniBook 3 16-bu0334TU</v>
          </cell>
        </row>
        <row r="18">
          <cell r="D18" t="str">
            <v>E08ZKPA</v>
          </cell>
          <cell r="G18" t="str">
            <v>HP OmniBook 3 16-bu0335TU</v>
          </cell>
        </row>
        <row r="19">
          <cell r="D19" t="str">
            <v>DU6D6PA</v>
          </cell>
          <cell r="G19" t="str">
            <v>HP OmniBook 3 AI PC 16-bw0039AU</v>
          </cell>
        </row>
        <row r="20">
          <cell r="D20" t="str">
            <v>DU5V0PA</v>
          </cell>
          <cell r="G20" t="str">
            <v>HP OmniBook 3 AI PC 16-bw0036AU</v>
          </cell>
        </row>
        <row r="21">
          <cell r="D21" t="str">
            <v>DJ8T4PA</v>
          </cell>
          <cell r="G21" t="str">
            <v>HP OmniBook 5 14-hm0072AU</v>
          </cell>
        </row>
        <row r="22">
          <cell r="D22" t="str">
            <v>DX4J7PA</v>
          </cell>
          <cell r="G22" t="str">
            <v>HP OmniBook 5 AI PC 14-kf0002TU</v>
          </cell>
        </row>
        <row r="23">
          <cell r="D23" t="str">
            <v>DJ8U6PA</v>
          </cell>
          <cell r="G23" t="str">
            <v>HP OmniBook 5 16-cn0011TU</v>
          </cell>
        </row>
        <row r="24">
          <cell r="D24" t="str">
            <v>DJ8U3PA</v>
          </cell>
          <cell r="G24" t="str">
            <v>HP OmniBook 5 16-bp0046AU</v>
          </cell>
        </row>
        <row r="25">
          <cell r="D25" t="str">
            <v>DU5R6PA</v>
          </cell>
          <cell r="G25" t="str">
            <v>HP OmniBook 5 Flip 14-fp0162TU</v>
          </cell>
        </row>
        <row r="26">
          <cell r="D26" t="str">
            <v>DU5R9PA</v>
          </cell>
          <cell r="G26" t="str">
            <v>HP OmniBook 5 Flip 14-fp0165TU</v>
          </cell>
        </row>
        <row r="27">
          <cell r="D27" t="str">
            <v>DW8J6PA</v>
          </cell>
          <cell r="G27" t="str">
            <v>HP OmniBook 5 Flip 14-fp0166TU</v>
          </cell>
        </row>
        <row r="28">
          <cell r="D28" t="str">
            <v>DU5U5PA</v>
          </cell>
          <cell r="G28" t="str">
            <v>HP OmniBook 5 Flip NG AI PC 14-km0063TU</v>
          </cell>
        </row>
        <row r="29">
          <cell r="D29" t="str">
            <v>DU5U4PA</v>
          </cell>
          <cell r="G29" t="str">
            <v>HP OmniBook 5 Flip NG AI PC 14-km0062TU</v>
          </cell>
        </row>
        <row r="30">
          <cell r="D30" t="str">
            <v>DU5U1PA</v>
          </cell>
          <cell r="G30" t="str">
            <v>HP OmniBook 5 Flip NG AI PC 14-km0060TU</v>
          </cell>
        </row>
        <row r="31">
          <cell r="D31" t="str">
            <v>DU5U2PA</v>
          </cell>
          <cell r="G31" t="str">
            <v>HP OmniBook 5 Flip NG AI PC 14-km0061TU</v>
          </cell>
        </row>
        <row r="32">
          <cell r="D32" t="str">
            <v>E2HE0PA</v>
          </cell>
          <cell r="G32" t="str">
            <v>HP OmniBook 7 NG AI PC 14-hg0078TU</v>
          </cell>
        </row>
        <row r="33">
          <cell r="D33" t="str">
            <v>E2HE1PA</v>
          </cell>
          <cell r="G33" t="str">
            <v>HP OmniBook 7 NG AI PC 14-hg0079TU</v>
          </cell>
        </row>
        <row r="34">
          <cell r="D34" t="str">
            <v>DU5S6PA</v>
          </cell>
          <cell r="G34" t="str">
            <v>HP OmniBook X Flip NG AI PC 14-kb0105TU</v>
          </cell>
        </row>
        <row r="35">
          <cell r="D35" t="str">
            <v>DU5S7PA</v>
          </cell>
          <cell r="G35" t="str">
            <v>HP OmniBook X Flip NG AI PC 14-kb0106TU</v>
          </cell>
        </row>
        <row r="36">
          <cell r="D36" t="str">
            <v>DU5T2PA</v>
          </cell>
          <cell r="G36" t="str">
            <v>HP OmniBook X Flip NG AI PC 14-kb0112TU</v>
          </cell>
        </row>
        <row r="37">
          <cell r="D37" t="str">
            <v>DU5S8PA</v>
          </cell>
          <cell r="G37" t="str">
            <v>HP OmniBook X Flip NG AI PC 14-kb0107TU</v>
          </cell>
        </row>
        <row r="38">
          <cell r="D38" t="str">
            <v>DU5T5PA</v>
          </cell>
          <cell r="G38" t="str">
            <v>HP OmniBook X Flip NG AI PC 14-kc0080AU</v>
          </cell>
        </row>
        <row r="39">
          <cell r="D39" t="str">
            <v>DU5T6PA</v>
          </cell>
          <cell r="G39" t="str">
            <v>HP OmniBook X Flip NG AI PC 14-kc0081AU</v>
          </cell>
        </row>
        <row r="40">
          <cell r="D40" t="str">
            <v>DU5T8PA</v>
          </cell>
          <cell r="G40" t="str">
            <v>HP OmniBook X Flip NG AI PC 14-kc0085AU</v>
          </cell>
        </row>
        <row r="41">
          <cell r="D41" t="str">
            <v>DU5T7PA</v>
          </cell>
          <cell r="G41" t="str">
            <v>HP OmniBook X Flip NG AI PC 14-kc0082AU</v>
          </cell>
        </row>
        <row r="42">
          <cell r="D42" t="str">
            <v>DU5S1PA</v>
          </cell>
          <cell r="G42" t="str">
            <v>HP OmniBook X Flip NG AI PC 14-kb0100TU</v>
          </cell>
        </row>
        <row r="43">
          <cell r="D43" t="str">
            <v>DU5S4PA</v>
          </cell>
          <cell r="G43" t="str">
            <v>HP OmniBook X Flip NG AI PC 14-kb0101TU</v>
          </cell>
        </row>
        <row r="44">
          <cell r="D44" t="str">
            <v>DU5S5PA</v>
          </cell>
          <cell r="G44" t="str">
            <v>HP OmniBook X Flip NG AI PC 14-kb0102TU</v>
          </cell>
        </row>
        <row r="45">
          <cell r="D45" t="str">
            <v>DU5T4PA</v>
          </cell>
          <cell r="G45" t="str">
            <v>HP OmniBook X Flip NG AI PC 14-kc0079AU</v>
          </cell>
        </row>
        <row r="46">
          <cell r="D46" t="str">
            <v>DW8J8PA</v>
          </cell>
          <cell r="G46" t="str">
            <v>HP OmniBook X Flip NG AI PC 14-kc0039AU</v>
          </cell>
        </row>
        <row r="47">
          <cell r="D47" t="str">
            <v>DU5T3PA</v>
          </cell>
          <cell r="G47" t="str">
            <v>HP OmniBook X Flip NG AI PC 14-kc0078AU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ZMATINFO NB - 0924"/>
    </sheetNames>
    <sheetDataSet>
      <sheetData sheetId="0" refreshError="1">
        <row r="4">
          <cell r="N4" t="str">
            <v>Ext. Description 2</v>
          </cell>
          <cell r="O4" t="str">
            <v>Ext. Description 3</v>
          </cell>
          <cell r="Q4" t="str">
            <v>Material No.</v>
          </cell>
          <cell r="R4" t="str">
            <v>Material Description</v>
          </cell>
        </row>
        <row r="6">
          <cell r="Q6">
            <v>831100000025</v>
          </cell>
          <cell r="R6" t="str">
            <v>HP-NB Labor Fee</v>
          </cell>
        </row>
        <row r="7">
          <cell r="Q7">
            <v>831100000026</v>
          </cell>
          <cell r="R7" t="str">
            <v>HP-NB Diagnostic Fee</v>
          </cell>
        </row>
        <row r="8">
          <cell r="Q8">
            <v>831100000027</v>
          </cell>
          <cell r="R8" t="str">
            <v>HP-NB Parts Cost</v>
          </cell>
        </row>
        <row r="9">
          <cell r="Q9">
            <v>831100000028</v>
          </cell>
          <cell r="R9" t="str">
            <v>HP-NB Shipment Cost</v>
          </cell>
        </row>
        <row r="10">
          <cell r="Q10">
            <v>801600000052</v>
          </cell>
          <cell r="R10" t="str">
            <v>PM SERVICES FOR HP-NB</v>
          </cell>
        </row>
        <row r="11">
          <cell r="Q11">
            <v>432115030015</v>
          </cell>
          <cell r="R11" t="str">
            <v>HP VV774PA MINI 110-1169TU NETBOOK</v>
          </cell>
        </row>
        <row r="12">
          <cell r="Q12">
            <v>432115030016</v>
          </cell>
          <cell r="R12" t="str">
            <v>HP VV783PA MINI 110-1178TU NETBOOK</v>
          </cell>
        </row>
        <row r="13">
          <cell r="Q13">
            <v>531217060003</v>
          </cell>
          <cell r="R13" t="str">
            <v>HP BUNDLE VA228PA SEAT CARRY CASE 15N</v>
          </cell>
        </row>
        <row r="14">
          <cell r="Q14">
            <v>432115030012</v>
          </cell>
          <cell r="R14" t="str">
            <v>HP VQ974PA MINI 311-1002TU NETBOOK</v>
          </cell>
        </row>
        <row r="15">
          <cell r="Q15" t="str">
            <v>HP-NB</v>
          </cell>
          <cell r="R15" t="str">
            <v>HP-NB</v>
          </cell>
        </row>
        <row r="16">
          <cell r="Q16">
            <v>451215040239</v>
          </cell>
          <cell r="R16" t="str">
            <v>HP BUNDLE S300 CAMERA FOR NOTEBOOKS</v>
          </cell>
        </row>
        <row r="17">
          <cell r="Q17">
            <v>432115030413</v>
          </cell>
          <cell r="R17" t="str">
            <v>HP A2N26PA 430 I52430M 14 2GB/500 PWT PC</v>
          </cell>
        </row>
        <row r="18">
          <cell r="Q18">
            <v>531217060033</v>
          </cell>
          <cell r="R18" t="str">
            <v>HP LL566PA 14IN SNAP ON COVER BU/RD</v>
          </cell>
        </row>
        <row r="19">
          <cell r="Q19">
            <v>432115030277</v>
          </cell>
          <cell r="R19" t="str">
            <v>HP LV829PA MINI 110-3713TU NETBOOK BLACK</v>
          </cell>
        </row>
        <row r="20">
          <cell r="Q20">
            <v>432115030278</v>
          </cell>
          <cell r="R20" t="str">
            <v>HP LV831PA MINI 110-3715TU NETBOOK RED</v>
          </cell>
        </row>
        <row r="21">
          <cell r="Q21">
            <v>431916000013</v>
          </cell>
          <cell r="R21" t="str">
            <v>HP A3Z13PA ACCESSORY STARTER KIT</v>
          </cell>
        </row>
        <row r="22">
          <cell r="Q22">
            <v>431916100188</v>
          </cell>
          <cell r="R22" t="str">
            <v>HP A1J55PA G4 BLUE IMPRINT SNAP-ON COVER</v>
          </cell>
        </row>
        <row r="23">
          <cell r="Q23">
            <v>451215040240</v>
          </cell>
          <cell r="R23" t="str">
            <v>HP A3D00PA S300 14MP DIGITAL CAMERA</v>
          </cell>
        </row>
        <row r="24">
          <cell r="Q24">
            <v>541115010020</v>
          </cell>
          <cell r="R24" t="str">
            <v>HP GIORDANO MEN WATCH FOR HP LV449PA</v>
          </cell>
        </row>
        <row r="25">
          <cell r="Q25">
            <v>541115010021</v>
          </cell>
          <cell r="R25" t="str">
            <v>HP GIORDANO FEMALE WATCH FOR HP LV449PA</v>
          </cell>
        </row>
        <row r="26">
          <cell r="Q26">
            <v>521615140357</v>
          </cell>
          <cell r="R26" t="str">
            <v>HP A2N17PA i-BEATS IN EAR HEADSET</v>
          </cell>
        </row>
        <row r="27">
          <cell r="Q27">
            <v>432020030012</v>
          </cell>
          <cell r="R27" t="str">
            <v>HP MS OFFICE STUDENT 2010</v>
          </cell>
        </row>
        <row r="28">
          <cell r="Q28">
            <v>521615140367</v>
          </cell>
          <cell r="R28" t="str">
            <v>HP B0U83PA BEATS SOLO HD HPHONES BLACK</v>
          </cell>
        </row>
        <row r="29">
          <cell r="Q29">
            <v>521615140368</v>
          </cell>
          <cell r="R29" t="str">
            <v>HP B0U84PA BEATS TOUR IN EAR HEADSET</v>
          </cell>
        </row>
        <row r="30">
          <cell r="Q30">
            <v>531217060043</v>
          </cell>
          <cell r="R30" t="str">
            <v>HP BUNDLE BACKPACK BLACK</v>
          </cell>
        </row>
        <row r="31">
          <cell r="Q31">
            <v>811118180029</v>
          </cell>
          <cell r="R31" t="str">
            <v>HP U8231E 2Y COMPAQ/PAVILION SVC</v>
          </cell>
        </row>
        <row r="32">
          <cell r="Q32">
            <v>531217060016</v>
          </cell>
          <cell r="R32" t="str">
            <v>HP WT588PA TOP LOADING CARRYING CASE</v>
          </cell>
        </row>
        <row r="33">
          <cell r="Q33">
            <v>531217060032</v>
          </cell>
          <cell r="R33" t="str">
            <v>HP LL187PA SEAT NB 16IN COMMERCIAL CASE</v>
          </cell>
        </row>
        <row r="34">
          <cell r="Q34">
            <v>432015380127</v>
          </cell>
          <cell r="R34" t="str">
            <v>HP BUNDLE COOLING FAN CM R9-NBC-A1HK-GP</v>
          </cell>
        </row>
        <row r="35">
          <cell r="Q35">
            <v>432020030018</v>
          </cell>
          <cell r="R35" t="str">
            <v>HP SLEEPING DOGS GAME KEY</v>
          </cell>
        </row>
        <row r="36">
          <cell r="Q36">
            <v>431916100547</v>
          </cell>
          <cell r="R36" t="str">
            <v>HP H4R88AA ELITEPAD CASE</v>
          </cell>
        </row>
        <row r="37">
          <cell r="Q37">
            <v>432116020004</v>
          </cell>
          <cell r="R37" t="str">
            <v>HP C0M84AA ELITEPAD DOCKING STATION</v>
          </cell>
        </row>
        <row r="38">
          <cell r="Q38">
            <v>431915011305</v>
          </cell>
          <cell r="R38" t="str">
            <v>HP SS GALAXY NOTE 2 GRAY</v>
          </cell>
        </row>
        <row r="39">
          <cell r="Q39">
            <v>432115090138</v>
          </cell>
          <cell r="R39" t="str">
            <v>HP IPAD MINI 16GB WIFI BLACK &amp; SLATE</v>
          </cell>
        </row>
        <row r="40">
          <cell r="Q40">
            <v>521615140669</v>
          </cell>
          <cell r="R40" t="str">
            <v>HP SENN HD201 HEADPHONES</v>
          </cell>
        </row>
        <row r="41">
          <cell r="Q41">
            <v>432018240159</v>
          </cell>
          <cell r="R41" t="str">
            <v>HP BUNDLE SANDISK CRUZER FORCE FOR SM</v>
          </cell>
        </row>
        <row r="42">
          <cell r="Q42">
            <v>401016040002</v>
          </cell>
          <cell r="R42" t="str">
            <v>HP FOLDABLE FAN FOR SM</v>
          </cell>
        </row>
        <row r="43">
          <cell r="Q43">
            <v>531217060077</v>
          </cell>
          <cell r="R43" t="str">
            <v>HP BUNDLE F3W17AA BACKPACK 15.6N</v>
          </cell>
        </row>
        <row r="44">
          <cell r="Q44">
            <v>601411110048</v>
          </cell>
          <cell r="R44" t="str">
            <v>DNU</v>
          </cell>
        </row>
        <row r="45">
          <cell r="Q45">
            <v>432115030072</v>
          </cell>
          <cell r="R45" t="str">
            <v>HP WF592PA MINI 210-1014TU NETBOOK</v>
          </cell>
        </row>
        <row r="46">
          <cell r="Q46">
            <v>432115030073</v>
          </cell>
          <cell r="R46" t="str">
            <v>HP WC252PA MINI 210-1002TU NETBOOK</v>
          </cell>
        </row>
        <row r="47">
          <cell r="Q47">
            <v>432014020050</v>
          </cell>
          <cell r="R47" t="str">
            <v>HP CRUCIAL 1GB PC800 DDR SO-DIMM</v>
          </cell>
        </row>
        <row r="48">
          <cell r="Q48">
            <v>531217060018</v>
          </cell>
          <cell r="R48" t="str">
            <v>HP MINI LAPTOP SLEEVE</v>
          </cell>
        </row>
        <row r="49">
          <cell r="Q49">
            <v>432014020047</v>
          </cell>
          <cell r="R49" t="str">
            <v>HP KINGSTON 1GB PC800 DDR 800 SODIMM</v>
          </cell>
        </row>
        <row r="50">
          <cell r="Q50">
            <v>432020030005</v>
          </cell>
          <cell r="R50" t="str">
            <v>HP BUNDLE WIN7 STARTER FOR CPQ420</v>
          </cell>
        </row>
        <row r="51">
          <cell r="Q51">
            <v>432115030161</v>
          </cell>
          <cell r="R51" t="str">
            <v>HP XP505PA MINI 110-3101TU NETBOOK</v>
          </cell>
        </row>
        <row r="52">
          <cell r="Q52">
            <v>432115030162</v>
          </cell>
          <cell r="R52" t="str">
            <v>HP XP513PA MINI 210-2005TU NETBOOK</v>
          </cell>
        </row>
        <row r="53">
          <cell r="Q53">
            <v>432115030166</v>
          </cell>
          <cell r="R53" t="str">
            <v>HP XT822PA G42-366TX NB PC</v>
          </cell>
        </row>
        <row r="54">
          <cell r="Q54">
            <v>432115030167</v>
          </cell>
          <cell r="R54" t="str">
            <v>HP XT824PA G42-368TX NB PC</v>
          </cell>
        </row>
        <row r="55">
          <cell r="Q55">
            <v>432115030168</v>
          </cell>
          <cell r="R55" t="str">
            <v>HP XT828PA G42-372TX NB PC</v>
          </cell>
        </row>
        <row r="56">
          <cell r="Q56">
            <v>432115030169</v>
          </cell>
          <cell r="R56" t="str">
            <v>HP XT830PA MINI 210-2025TU NETBOOK</v>
          </cell>
        </row>
        <row r="57">
          <cell r="Q57">
            <v>432115030192</v>
          </cell>
          <cell r="R57" t="str">
            <v>HP LD901PA PAVILION DM4-1201TX NB PC</v>
          </cell>
        </row>
        <row r="58">
          <cell r="Q58">
            <v>432115030193</v>
          </cell>
          <cell r="R58" t="str">
            <v>HP LD909PA PAVILION dv6-4003TX NB PC</v>
          </cell>
        </row>
        <row r="59">
          <cell r="Q59">
            <v>432115030194</v>
          </cell>
          <cell r="R59" t="str">
            <v>HP LD914PA G42-457TX NB PC</v>
          </cell>
        </row>
        <row r="60">
          <cell r="Q60">
            <v>432018150056</v>
          </cell>
          <cell r="R60" t="str">
            <v>HP BUNDLE ODD FOR LG317PA/LG308PA</v>
          </cell>
        </row>
        <row r="61">
          <cell r="Q61">
            <v>432115030218</v>
          </cell>
          <cell r="R61" t="str">
            <v>HP LN362PA MINI 110-3601TU NETBOOK BLACK</v>
          </cell>
        </row>
        <row r="62">
          <cell r="Q62">
            <v>432115030219</v>
          </cell>
          <cell r="R62" t="str">
            <v>HP LN364PA MINI 110-3603TU NETBOOK RED</v>
          </cell>
        </row>
        <row r="63">
          <cell r="Q63">
            <v>432115030513</v>
          </cell>
          <cell r="R63" t="str">
            <v>HP A9M33PA MINI 110-4112TU NETBOOK BLACK</v>
          </cell>
        </row>
        <row r="64">
          <cell r="Q64">
            <v>432115030583</v>
          </cell>
          <cell r="R64" t="str">
            <v>HP B9J50PA ENVY 4-1047TX SLEEKBOOK PC</v>
          </cell>
        </row>
        <row r="65">
          <cell r="Q65">
            <v>432115030584</v>
          </cell>
          <cell r="R65" t="str">
            <v>HP B9J52PA ENVY 4-1048TX ULTRABOOK PC</v>
          </cell>
        </row>
        <row r="66">
          <cell r="Q66">
            <v>531217060045</v>
          </cell>
          <cell r="R66" t="str">
            <v>HP H3J54AA ULTRA PORTABLE SLEEVE</v>
          </cell>
        </row>
        <row r="67">
          <cell r="Q67">
            <v>432115030664</v>
          </cell>
          <cell r="R67" t="str">
            <v>HP C5H61PA PAVILION G4-2123TX I5 BLACK</v>
          </cell>
        </row>
        <row r="68">
          <cell r="Q68">
            <v>432115030665</v>
          </cell>
          <cell r="R68" t="str">
            <v>HP C5H62PA PAVILION G4-2124TX I5 BLUE</v>
          </cell>
        </row>
        <row r="69">
          <cell r="Q69">
            <v>432115030666</v>
          </cell>
          <cell r="R69" t="str">
            <v>HP C5H63PA PAVILION G4-2125TX I5 RED</v>
          </cell>
        </row>
        <row r="70">
          <cell r="Q70">
            <v>432115030667</v>
          </cell>
          <cell r="R70" t="str">
            <v>HP C5H64PA PAVILION G4-2126TX I3 BLACK</v>
          </cell>
        </row>
        <row r="71">
          <cell r="Q71">
            <v>432115030686</v>
          </cell>
          <cell r="R71" t="str">
            <v>HP A3W13PA DM4-3001TX NOTEBOOK</v>
          </cell>
        </row>
        <row r="72">
          <cell r="Q72">
            <v>432115030668</v>
          </cell>
          <cell r="R72" t="str">
            <v>HP C5H65PA PAVILION G4-2127TX I3 BLUE</v>
          </cell>
        </row>
        <row r="73">
          <cell r="Q73">
            <v>432115030669</v>
          </cell>
          <cell r="R73" t="str">
            <v>HP C5H66PA PAVILION G4-2128TX I3 RED</v>
          </cell>
        </row>
        <row r="74">
          <cell r="Q74">
            <v>432115030670</v>
          </cell>
          <cell r="R74" t="str">
            <v>HP C5H67PA PAVILION G4-2129TX I7 BLACK</v>
          </cell>
        </row>
        <row r="75">
          <cell r="Q75">
            <v>432115030671</v>
          </cell>
          <cell r="R75" t="str">
            <v>HP C5H68PA PAVILION G4-2130TX I7 BLUE</v>
          </cell>
        </row>
        <row r="76">
          <cell r="Q76">
            <v>432115030672</v>
          </cell>
          <cell r="R76" t="str">
            <v>HP C5H69PA PAVILION G4-2131TX I7 RED</v>
          </cell>
        </row>
        <row r="77">
          <cell r="Q77">
            <v>432115030776</v>
          </cell>
          <cell r="R77" t="str">
            <v>HP C9M52PA 1000-1304TU NOTEBOOK PC</v>
          </cell>
        </row>
        <row r="78">
          <cell r="Q78">
            <v>432115030836</v>
          </cell>
          <cell r="R78" t="str">
            <v>HP B0P52PA PAVILION DV6-7014TX</v>
          </cell>
        </row>
        <row r="79">
          <cell r="Q79">
            <v>432115030851</v>
          </cell>
          <cell r="R79" t="str">
            <v>HP C5H70PA 1000-1135TU</v>
          </cell>
        </row>
        <row r="80">
          <cell r="Q80">
            <v>432115030855</v>
          </cell>
          <cell r="R80" t="str">
            <v>HP D7N36PA PAV TS 14-B132TX SLEEKBOOK</v>
          </cell>
        </row>
        <row r="81">
          <cell r="Q81">
            <v>432115030856</v>
          </cell>
          <cell r="R81" t="str">
            <v>HP D7N37PA PAV TS 14-B133TX SLEEKBOOK</v>
          </cell>
        </row>
        <row r="82">
          <cell r="Q82">
            <v>432115030857</v>
          </cell>
          <cell r="R82" t="str">
            <v>HP D9G94PA PAV TS 14-B164TU SLEEKBOOK</v>
          </cell>
        </row>
        <row r="83">
          <cell r="Q83">
            <v>432115030866</v>
          </cell>
          <cell r="R83" t="str">
            <v>HP D7N95PA M4-1001TX NOTEBOOK PC</v>
          </cell>
        </row>
        <row r="84">
          <cell r="Q84">
            <v>432115030867</v>
          </cell>
          <cell r="R84" t="str">
            <v>HP D9G76PA M4-1004TX NOTEBOOK PC</v>
          </cell>
        </row>
        <row r="85">
          <cell r="Q85">
            <v>432115030926</v>
          </cell>
          <cell r="R85" t="str">
            <v>HP LZ727PA PAVILION DV4-3107TX NB PC RED</v>
          </cell>
        </row>
        <row r="86">
          <cell r="Q86">
            <v>432100000002</v>
          </cell>
          <cell r="R86" t="str">
            <v>HP-NB NON-IONTECH</v>
          </cell>
        </row>
        <row r="87">
          <cell r="Q87">
            <v>432115031249</v>
          </cell>
          <cell r="R87" t="str">
            <v>HP M9V39PA 14-AC016TX</v>
          </cell>
        </row>
        <row r="88">
          <cell r="Q88">
            <v>432115031250</v>
          </cell>
          <cell r="R88" t="str">
            <v>HP M9V40PA 14-AC017TX</v>
          </cell>
        </row>
        <row r="89">
          <cell r="Q89">
            <v>432115031251</v>
          </cell>
          <cell r="R89" t="str">
            <v>HP M7Q47PA 14-AC009TU</v>
          </cell>
        </row>
        <row r="90">
          <cell r="Q90">
            <v>432115031252</v>
          </cell>
          <cell r="R90" t="str">
            <v>HP N1W24PA 14-AC056TU</v>
          </cell>
        </row>
        <row r="91">
          <cell r="Q91">
            <v>432115031257</v>
          </cell>
          <cell r="R91" t="str">
            <v>HP M4X98PA PAVILION 15-AB060TX</v>
          </cell>
        </row>
        <row r="92">
          <cell r="Q92">
            <v>432115031258</v>
          </cell>
          <cell r="R92" t="str">
            <v>HP M4X99PA PAVILION 15-AB061TX</v>
          </cell>
        </row>
        <row r="93">
          <cell r="Q93">
            <v>432115031253</v>
          </cell>
          <cell r="R93" t="str">
            <v>HP M4Y09PA PAVILION 14-AB017TU</v>
          </cell>
        </row>
        <row r="94">
          <cell r="Q94">
            <v>432115030197</v>
          </cell>
          <cell r="R94" t="str">
            <v>HP LG308PA MINI 110-3547TU NETBOOK RED</v>
          </cell>
        </row>
        <row r="95">
          <cell r="Q95">
            <v>432115030198</v>
          </cell>
          <cell r="R95" t="str">
            <v>HP LG317PA MINI 110-3549TU NETBOOK BLACK</v>
          </cell>
        </row>
        <row r="96">
          <cell r="Q96">
            <v>432115030468</v>
          </cell>
          <cell r="R96" t="str">
            <v>HP A3U91PA PAVILION DM1-4012TU</v>
          </cell>
        </row>
        <row r="97">
          <cell r="Q97">
            <v>432115030467</v>
          </cell>
          <cell r="R97" t="str">
            <v>HP A3D66PA PAVILION DV6-6168TX NB PC</v>
          </cell>
        </row>
        <row r="98">
          <cell r="Q98">
            <v>432115030237</v>
          </cell>
          <cell r="R98" t="str">
            <v>HP LN355PA G4-1008TX NB PC</v>
          </cell>
        </row>
        <row r="99">
          <cell r="Q99">
            <v>432115030238</v>
          </cell>
          <cell r="R99" t="str">
            <v>HP LN356PA G4-1009TX NB PC</v>
          </cell>
        </row>
        <row r="100">
          <cell r="Q100">
            <v>432115030491</v>
          </cell>
          <cell r="R100" t="str">
            <v>HP A9M70PA MINI 210-4022TU NETBOOK GREY</v>
          </cell>
        </row>
        <row r="101">
          <cell r="Q101">
            <v>432115030492</v>
          </cell>
          <cell r="R101" t="str">
            <v>HP A9R55PA MINI 210-4027TU NETBOOK RED</v>
          </cell>
        </row>
        <row r="102">
          <cell r="Q102">
            <v>432115030493</v>
          </cell>
          <cell r="R102" t="str">
            <v>HP A9R56PA MINI 210-4028TU NETBOOK BLUE</v>
          </cell>
        </row>
        <row r="103">
          <cell r="Q103">
            <v>432115030567</v>
          </cell>
          <cell r="R103" t="str">
            <v>HP B8L76PA PAVILION G4-2101AX NB PC</v>
          </cell>
        </row>
        <row r="104">
          <cell r="Q104">
            <v>432115030594</v>
          </cell>
          <cell r="R104" t="str">
            <v>HP B6V11PA MINI 200-4210TU NB BLACK</v>
          </cell>
        </row>
        <row r="105">
          <cell r="Q105">
            <v>432115030595</v>
          </cell>
          <cell r="R105" t="str">
            <v>HP B9J33PA MINI 200-4218TU NOTEBOOK RED</v>
          </cell>
        </row>
        <row r="106">
          <cell r="Q106">
            <v>432115030596</v>
          </cell>
          <cell r="R106" t="str">
            <v>HP B9J34PA MINI 200-4219TU NOTEBOOK BLUE</v>
          </cell>
        </row>
        <row r="107">
          <cell r="Q107">
            <v>432115030597</v>
          </cell>
          <cell r="R107" t="str">
            <v>HP B9J35PA MINI 200-4220TU NOTEBOOKBLACK</v>
          </cell>
        </row>
        <row r="108">
          <cell r="Q108">
            <v>432115030677</v>
          </cell>
          <cell r="R108" t="str">
            <v>HP LV474PA COMPAQ 435 E350 500GB</v>
          </cell>
        </row>
        <row r="109">
          <cell r="Q109">
            <v>432115030678</v>
          </cell>
          <cell r="R109" t="str">
            <v>HP A9R71PA 14IN G4-1335TX I3 640GB SATA</v>
          </cell>
        </row>
        <row r="110">
          <cell r="Q110">
            <v>432115030725</v>
          </cell>
          <cell r="R110" t="str">
            <v>HP A9M57PA PAVILION G4-1314TX NB PC</v>
          </cell>
        </row>
        <row r="111">
          <cell r="Q111">
            <v>432115030782</v>
          </cell>
          <cell r="R111" t="str">
            <v>HP A9M18PA FOLIO 13-1013TU INTEL CORE I5</v>
          </cell>
        </row>
        <row r="112">
          <cell r="Q112">
            <v>432115030768</v>
          </cell>
          <cell r="R112" t="str">
            <v>HP B3J13PA G4-2014TX NOTEBOOK PC</v>
          </cell>
        </row>
        <row r="113">
          <cell r="Q113">
            <v>432115030758</v>
          </cell>
          <cell r="R113" t="str">
            <v>HP B9J44PA G4-2103TX NOTEBOOK PC RED</v>
          </cell>
        </row>
        <row r="114">
          <cell r="Q114">
            <v>432115030754</v>
          </cell>
          <cell r="R114" t="str">
            <v>HP B8M92PA DM1-4209AU NB PC</v>
          </cell>
        </row>
        <row r="115">
          <cell r="Q115">
            <v>432115030788</v>
          </cell>
          <cell r="R115" t="str">
            <v>HP B3J12PA PAVILION G4-2013TX I5 BLUE</v>
          </cell>
        </row>
        <row r="116">
          <cell r="Q116">
            <v>432115030751</v>
          </cell>
          <cell r="R116" t="str">
            <v>HP QC312PA G4-1129TX I3 WITH OS BK</v>
          </cell>
        </row>
        <row r="117">
          <cell r="Q117">
            <v>432115030824</v>
          </cell>
          <cell r="R117" t="str">
            <v>HP C9M51PA 1000-1303TU NOTEBOOK PC</v>
          </cell>
        </row>
        <row r="118">
          <cell r="Q118">
            <v>432115030781</v>
          </cell>
          <cell r="R118" t="str">
            <v>HP XV931PA G42-462TU NOTEBOOK PC</v>
          </cell>
        </row>
        <row r="119">
          <cell r="Q119">
            <v>432115030830</v>
          </cell>
          <cell r="R119" t="str">
            <v>HP QG322PA PAVILION DV6-6157TX</v>
          </cell>
        </row>
        <row r="120">
          <cell r="Q120">
            <v>432115030853</v>
          </cell>
          <cell r="R120" t="str">
            <v>HP NK897PA CQ45-319TX BLACK</v>
          </cell>
        </row>
        <row r="121">
          <cell r="Q121">
            <v>432115030897</v>
          </cell>
          <cell r="R121" t="str">
            <v>HP E6F39PA PAVILION 14-E014TU NB PC</v>
          </cell>
        </row>
        <row r="122">
          <cell r="Q122">
            <v>432115090114</v>
          </cell>
          <cell r="R122" t="str">
            <v>HP E0H92AA SLATE 7 2800 SILVER</v>
          </cell>
        </row>
        <row r="123">
          <cell r="Q123">
            <v>432115090115</v>
          </cell>
          <cell r="R123" t="str">
            <v>HP E0P94AA SLATE 7 2801 RED</v>
          </cell>
        </row>
        <row r="124">
          <cell r="Q124">
            <v>432115030893</v>
          </cell>
          <cell r="R124" t="str">
            <v>HP E4Y23PA PAVILION TS 11-E009AU SILVER</v>
          </cell>
        </row>
        <row r="125">
          <cell r="Q125">
            <v>432115030908</v>
          </cell>
          <cell r="R125" t="str">
            <v>HP E4X77PA PAV TS 14-B176TU SLEEKBOOK</v>
          </cell>
        </row>
        <row r="126">
          <cell r="Q126">
            <v>432115030891</v>
          </cell>
          <cell r="R126" t="str">
            <v>HP D9H87PA PAVILION G4-1310AU SILVER</v>
          </cell>
        </row>
        <row r="127">
          <cell r="Q127">
            <v>432115030975</v>
          </cell>
          <cell r="R127" t="str">
            <v>HP B8L73PA 1000-1116TU NOTEBOOK</v>
          </cell>
        </row>
        <row r="128">
          <cell r="Q128">
            <v>432115030938</v>
          </cell>
          <cell r="R128" t="str">
            <v>HP B3J14PA PAVILION DM4-3107TX NB PC</v>
          </cell>
        </row>
        <row r="129">
          <cell r="Q129">
            <v>432115030981</v>
          </cell>
          <cell r="R129" t="str">
            <v>HP H4F91AA P2-1350L PC A/P</v>
          </cell>
        </row>
        <row r="130">
          <cell r="Q130">
            <v>432115030977</v>
          </cell>
          <cell r="R130" t="str">
            <v>HP C0R40PA 450 I5-3210M 14.0 2GB/500 PC</v>
          </cell>
        </row>
        <row r="131">
          <cell r="Q131">
            <v>432115030978</v>
          </cell>
          <cell r="R131" t="str">
            <v>HP B4P73PA ENVY 4-1003TU NOTEBOOK PC</v>
          </cell>
        </row>
        <row r="132">
          <cell r="Q132">
            <v>432115030930</v>
          </cell>
          <cell r="R132" t="str">
            <v>HP B4P71PA CQ43-423TU NOTEBOOK PC A/P</v>
          </cell>
        </row>
        <row r="133">
          <cell r="Q133">
            <v>432115030955</v>
          </cell>
          <cell r="R133" t="str">
            <v>HP C7E03PA PAVILION SLEEKBOOK 14-B014TX</v>
          </cell>
        </row>
        <row r="134">
          <cell r="Q134">
            <v>432115030956</v>
          </cell>
          <cell r="R134" t="str">
            <v>HP A9R82PA G4-1346TX NOTEBOOK PC</v>
          </cell>
        </row>
        <row r="135">
          <cell r="Q135">
            <v>432115030941</v>
          </cell>
          <cell r="R135" t="str">
            <v>HP B3J09PA PAVILION DV4-5012TX NB PC</v>
          </cell>
        </row>
        <row r="136">
          <cell r="Q136">
            <v>432115030942</v>
          </cell>
          <cell r="R136" t="str">
            <v>HP B9K27PA ENVY 4-1055TX SLEEKBOOK PC</v>
          </cell>
        </row>
        <row r="137">
          <cell r="Q137">
            <v>432115030936</v>
          </cell>
          <cell r="R137" t="str">
            <v>HP B9J39PA 1000-1127TU NOTEBOOK PC</v>
          </cell>
        </row>
        <row r="138">
          <cell r="Q138">
            <v>432115030937</v>
          </cell>
          <cell r="R138" t="str">
            <v>HP B3J11PA PAVILION G4-2012TX NB PC</v>
          </cell>
        </row>
        <row r="139">
          <cell r="Q139">
            <v>432115031262</v>
          </cell>
          <cell r="R139" t="str">
            <v>HP M7Q49PA 14-AC011TU</v>
          </cell>
        </row>
        <row r="140">
          <cell r="Q140">
            <v>432115031263</v>
          </cell>
          <cell r="R140" t="str">
            <v>HP M9V42PA 14-AC034TU</v>
          </cell>
        </row>
        <row r="141">
          <cell r="Q141">
            <v>432115031264</v>
          </cell>
          <cell r="R141" t="str">
            <v>HP M9V43PA 14-AC035TU</v>
          </cell>
        </row>
        <row r="142">
          <cell r="Q142">
            <v>531217060085</v>
          </cell>
          <cell r="R142" t="str">
            <v>HP BUNDLE M5Q14AA 10.1 SLEEVE RED</v>
          </cell>
        </row>
        <row r="143">
          <cell r="Q143">
            <v>531217060086</v>
          </cell>
          <cell r="R143" t="str">
            <v>HP BUNDLE M5Q21AA 10.1 SLEEVE WHITE</v>
          </cell>
        </row>
        <row r="144">
          <cell r="Q144">
            <v>432116001400</v>
          </cell>
          <cell r="R144" t="str">
            <v>HP HTC VIVE VR HEADSET BK DEMO</v>
          </cell>
        </row>
        <row r="145">
          <cell r="Q145">
            <v>432115031690</v>
          </cell>
          <cell r="R145" t="str">
            <v>HP OMEN 15-AX038TX I7-6700HQ DEMO</v>
          </cell>
        </row>
        <row r="146">
          <cell r="Q146">
            <v>521615141412</v>
          </cell>
          <cell r="R146" t="str">
            <v>HP OMEN HEADSET BK/RED DEMO</v>
          </cell>
        </row>
        <row r="147">
          <cell r="Q147">
            <v>432117060767</v>
          </cell>
          <cell r="R147" t="str">
            <v>HP OMEN KEYBOARD BK DEMO</v>
          </cell>
        </row>
        <row r="148">
          <cell r="Q148">
            <v>432117080426</v>
          </cell>
          <cell r="R148" t="str">
            <v>HP OMEN MOUSE BK DEMO</v>
          </cell>
        </row>
        <row r="149">
          <cell r="Q149">
            <v>261216360474</v>
          </cell>
          <cell r="R149" t="str">
            <v>HP OMEN TOWER POWER ADAP BK DEMO</v>
          </cell>
        </row>
        <row r="150">
          <cell r="Q150">
            <v>432116071160</v>
          </cell>
          <cell r="R150" t="str">
            <v>HP SPEAKER BT BK DEMO</v>
          </cell>
        </row>
        <row r="151">
          <cell r="Q151">
            <v>432121040048</v>
          </cell>
          <cell r="R151" t="str">
            <v>HP DESKJET D1560</v>
          </cell>
        </row>
        <row r="152">
          <cell r="Q152">
            <v>432121040021</v>
          </cell>
          <cell r="R152" t="str">
            <v>HP BUNDLE DESKJET D2660 PRINTER</v>
          </cell>
        </row>
        <row r="153">
          <cell r="Q153">
            <v>141116080004</v>
          </cell>
          <cell r="R153" t="str">
            <v>HP BUNDLE BLUE GC WITH HP CQ42-254</v>
          </cell>
        </row>
        <row r="154">
          <cell r="Q154">
            <v>432121040033</v>
          </cell>
          <cell r="R154" t="str">
            <v>HP OFFICEJET J3608 ALL-IN-ONE PRINTER</v>
          </cell>
        </row>
        <row r="155">
          <cell r="Q155">
            <v>241115000001</v>
          </cell>
          <cell r="R155" t="str">
            <v>HP BUNDLE MESSENGER BAGS</v>
          </cell>
        </row>
        <row r="156">
          <cell r="Q156">
            <v>432121040031</v>
          </cell>
          <cell r="R156" t="str">
            <v>HP BUNDLE DESKJET D1660 PRINTER FOR CQ42</v>
          </cell>
        </row>
        <row r="157">
          <cell r="Q157">
            <v>432121040050</v>
          </cell>
          <cell r="R157" t="str">
            <v>HP CQ751A DESKJET INKADVK010A FOC</v>
          </cell>
        </row>
        <row r="158">
          <cell r="Q158">
            <v>141116080015</v>
          </cell>
          <cell r="R158" t="str">
            <v>HP BUNDLE WIN8 UPGRADE FOR NB</v>
          </cell>
        </row>
        <row r="159">
          <cell r="Q159">
            <v>432119021901</v>
          </cell>
          <cell r="R159" t="str">
            <v>HP PAVILION MONITOR 27IN SV DEMO</v>
          </cell>
        </row>
        <row r="160">
          <cell r="Q160">
            <v>432121040099</v>
          </cell>
          <cell r="R160" t="str">
            <v>HP BUNDLE CX015A DESKJET 1010 PRINTER</v>
          </cell>
        </row>
        <row r="161">
          <cell r="Q161">
            <v>432115031254</v>
          </cell>
          <cell r="R161" t="str">
            <v>HP M9V48PA PAVILION 14-AB045TX</v>
          </cell>
        </row>
        <row r="162">
          <cell r="Q162">
            <v>432117090012</v>
          </cell>
          <cell r="R162" t="str">
            <v>HP J4R51AA ACTIVE STYLUS PEN</v>
          </cell>
        </row>
        <row r="163">
          <cell r="Q163">
            <v>531217060095</v>
          </cell>
          <cell r="R163" t="str">
            <v>HP BUNDLE F3W18AA BACKPACK</v>
          </cell>
        </row>
        <row r="164">
          <cell r="Q164">
            <v>432118020140</v>
          </cell>
          <cell r="R164" t="str">
            <v>HP BUNDLE H4N94AA X3300 WIRELESS MOUSEWH</v>
          </cell>
        </row>
        <row r="165">
          <cell r="Q165">
            <v>531217060129</v>
          </cell>
          <cell r="R165" t="str">
            <v>HP BUNDLE H4X02AA SELECT 75 BACKPACK RED</v>
          </cell>
        </row>
        <row r="166">
          <cell r="Q166">
            <v>432118020137</v>
          </cell>
          <cell r="R166" t="str">
            <v>HP BUNDLE A0X35AA X4000 WIRELESS MOUSEBK</v>
          </cell>
        </row>
        <row r="167">
          <cell r="Q167">
            <v>432118020138</v>
          </cell>
          <cell r="R167" t="str">
            <v>HP BUNDLE H2C22AA X3000 WIRELESS MOUSEBK</v>
          </cell>
        </row>
        <row r="168">
          <cell r="Q168">
            <v>432118020139</v>
          </cell>
          <cell r="R168" t="str">
            <v>HP BUNDLE H2W27AA X4500 WIRELESS MOUSEWH</v>
          </cell>
        </row>
        <row r="169">
          <cell r="Q169">
            <v>432117060744</v>
          </cell>
          <cell r="R169" t="str">
            <v>HP BUNDLE H3C53AA C2500 WIRED DESKTOP</v>
          </cell>
        </row>
        <row r="170">
          <cell r="Q170">
            <v>401019030043</v>
          </cell>
          <cell r="R170" t="str">
            <v>HP-NB AIZEN AIR HOME 27 UV (AP-H27UV)FOC</v>
          </cell>
        </row>
        <row r="171">
          <cell r="Q171">
            <v>531217060046</v>
          </cell>
          <cell r="R171" t="str">
            <v>HP BUNDLE B1T31PA BASIC CARRYING CASE14N</v>
          </cell>
        </row>
        <row r="172">
          <cell r="Q172">
            <v>531217060051</v>
          </cell>
          <cell r="R172" t="str">
            <v>HP H4K00AA 14.1 BLACK SLEEVE A/P</v>
          </cell>
        </row>
        <row r="173">
          <cell r="Q173">
            <v>432115090116</v>
          </cell>
          <cell r="R173" t="str">
            <v>HP E4Y18PA SLATE BOOK 10-H013RU x2 PC</v>
          </cell>
        </row>
        <row r="174">
          <cell r="Q174">
            <v>432115090117</v>
          </cell>
          <cell r="R174" t="str">
            <v>HP E4Y19PA SLATE BOOK 10-H014RU x2 PC</v>
          </cell>
        </row>
        <row r="175">
          <cell r="Q175">
            <v>521615140661</v>
          </cell>
          <cell r="R175" t="str">
            <v>HP H6T15AA  IN EAR H2300 WHITE HEADSET</v>
          </cell>
        </row>
        <row r="176">
          <cell r="Q176">
            <v>521615140662</v>
          </cell>
          <cell r="R176" t="str">
            <v>HP H6T18AA IN EAR H2300 R/B HEADSET</v>
          </cell>
        </row>
        <row r="177">
          <cell r="Q177">
            <v>432115031255</v>
          </cell>
          <cell r="R177" t="str">
            <v>HP M9V49PA PAVILION 14-AB046TX</v>
          </cell>
        </row>
        <row r="178">
          <cell r="Q178">
            <v>432115031256</v>
          </cell>
          <cell r="R178" t="str">
            <v>HP M9V50PA PAVILION 14-AB047TX</v>
          </cell>
        </row>
        <row r="179">
          <cell r="Q179">
            <v>521615141635</v>
          </cell>
          <cell r="R179" t="str">
            <v>HP BUNDLE HARMAN JBL T110 BLACK</v>
          </cell>
        </row>
        <row r="180">
          <cell r="Q180">
            <v>531217060044</v>
          </cell>
          <cell r="R180" t="str">
            <v>HP BUNDLE B0U05PA PROFESSIONAL BCKPCK16N</v>
          </cell>
        </row>
        <row r="181">
          <cell r="Q181">
            <v>541115011375</v>
          </cell>
          <cell r="R181" t="str">
            <v>HIFUTURE FUTURE TOUR BLACK DEMO</v>
          </cell>
        </row>
        <row r="182">
          <cell r="Q182">
            <v>541115011374</v>
          </cell>
          <cell r="R182" t="str">
            <v>HIFUTURE AIX LITE CHAMPAGNE DEMO</v>
          </cell>
        </row>
        <row r="183">
          <cell r="Q183">
            <v>541115011373</v>
          </cell>
          <cell r="R183" t="str">
            <v>HIFUTURE APEX SILVER DEMO</v>
          </cell>
        </row>
        <row r="184">
          <cell r="Q184">
            <v>541115011372</v>
          </cell>
          <cell r="R184" t="str">
            <v>HIFUTURE FLEX 2 SILVER DEMO</v>
          </cell>
        </row>
        <row r="185">
          <cell r="Q185">
            <v>541115011371</v>
          </cell>
          <cell r="R185" t="str">
            <v>HIFUTURE ULTRA 3 PRO BLACK DEMO</v>
          </cell>
        </row>
        <row r="186">
          <cell r="Q186">
            <v>541115011370</v>
          </cell>
          <cell r="R186" t="str">
            <v>HIFUTURE MIX 2 SUNSHINE ORANGE DEMO</v>
          </cell>
        </row>
        <row r="187">
          <cell r="Q187">
            <v>541115011369</v>
          </cell>
          <cell r="R187" t="str">
            <v>HIFUTURE MIX 2 RAVEN BLACK DEMO</v>
          </cell>
        </row>
        <row r="188">
          <cell r="Q188">
            <v>541115011368</v>
          </cell>
          <cell r="R188" t="str">
            <v>HIFUTURE FUTURE AURA SILVER DEMO</v>
          </cell>
        </row>
        <row r="189">
          <cell r="Q189">
            <v>541115011367</v>
          </cell>
          <cell r="R189" t="str">
            <v>HIFUTURE ZONE 2 PINK DEMO</v>
          </cell>
        </row>
        <row r="190">
          <cell r="Q190">
            <v>541115011366</v>
          </cell>
          <cell r="R190" t="str">
            <v>HIFUTURE EVO 2 BEIGE DEMO</v>
          </cell>
        </row>
        <row r="191">
          <cell r="Q191">
            <v>521615143332</v>
          </cell>
          <cell r="R191" t="str">
            <v>HIFUTURE POCKET S BLUE DEMO</v>
          </cell>
        </row>
        <row r="192">
          <cell r="Q192">
            <v>521615143331</v>
          </cell>
          <cell r="R192" t="str">
            <v>HIFUTURE POCKET S WHITE GREY DEMO</v>
          </cell>
        </row>
        <row r="193">
          <cell r="Q193">
            <v>521615143330</v>
          </cell>
          <cell r="R193" t="str">
            <v>HIFUTURE FUSION WHITE DEMO</v>
          </cell>
        </row>
        <row r="194">
          <cell r="Q194">
            <v>521615143329</v>
          </cell>
          <cell r="R194" t="str">
            <v>HIFUTURE FLYBUDS 3 WHITE DEMO</v>
          </cell>
        </row>
        <row r="195">
          <cell r="Q195">
            <v>521615143328</v>
          </cell>
          <cell r="R195" t="str">
            <v>HIFUTURE SONIC AIR GOLD DEMO</v>
          </cell>
        </row>
        <row r="196">
          <cell r="Q196">
            <v>521615143327</v>
          </cell>
          <cell r="R196" t="str">
            <v>HIFUTURE FLEX CLIP CHAMPAGNE WHITE DEMO</v>
          </cell>
        </row>
        <row r="197">
          <cell r="Q197">
            <v>521615143326</v>
          </cell>
          <cell r="R197" t="str">
            <v>HIFUTURE FLEX CLIP METALLIC BLACK DEMO</v>
          </cell>
        </row>
        <row r="198">
          <cell r="Q198">
            <v>521615143325</v>
          </cell>
          <cell r="R198" t="str">
            <v>HIFUTURE SONIFY METALLIC BLACK DEMO</v>
          </cell>
        </row>
        <row r="199">
          <cell r="Q199">
            <v>521417050012</v>
          </cell>
          <cell r="R199" t="str">
            <v>SKG 1210050001 T033MW HAIR REMOVER DEMO</v>
          </cell>
        </row>
        <row r="200">
          <cell r="Q200">
            <v>451216150015</v>
          </cell>
          <cell r="R200" t="str">
            <v>HIFUTURE FUTURE RING 60MM DEMO</v>
          </cell>
        </row>
        <row r="201">
          <cell r="Q201">
            <v>441115010015</v>
          </cell>
          <cell r="R201" t="str">
            <v>SKG 1205150006 W3 PRO KNEE MASSAGER DEMO</v>
          </cell>
        </row>
        <row r="202">
          <cell r="Q202">
            <v>441115010014</v>
          </cell>
          <cell r="R202" t="str">
            <v>SKG 1205120025 T1-2 PRO BACK MSSGR DEMO</v>
          </cell>
        </row>
        <row r="203">
          <cell r="Q203">
            <v>441115010013</v>
          </cell>
          <cell r="R203" t="str">
            <v>SKG 1205120020 W9 PRO WAIST MSSGR DEMO</v>
          </cell>
        </row>
        <row r="204">
          <cell r="Q204">
            <v>441115010012</v>
          </cell>
          <cell r="R204" t="str">
            <v>SKG 1205120022 W7 PRO WAIST MSSGR DEMO</v>
          </cell>
        </row>
        <row r="205">
          <cell r="Q205">
            <v>441115010011</v>
          </cell>
          <cell r="R205" t="str">
            <v>SKG 1205050117 E7-EN EYE MASSAGER DEMO</v>
          </cell>
        </row>
        <row r="206">
          <cell r="Q206">
            <v>441115010010</v>
          </cell>
          <cell r="R206" t="str">
            <v>SKG 1205060047 E3 PRO EYE MASSAGE DEMO</v>
          </cell>
        </row>
        <row r="207">
          <cell r="Q207">
            <v>441115010008</v>
          </cell>
          <cell r="R207" t="str">
            <v>SKG 1205050215 G7 PRO-FOLD NCK MSGR DEMO</v>
          </cell>
        </row>
        <row r="208">
          <cell r="Q208">
            <v>441115010007</v>
          </cell>
          <cell r="R208" t="str">
            <v>SKG 1205070095 4098E NECK MASSAGER DEMO</v>
          </cell>
        </row>
        <row r="209">
          <cell r="Q209">
            <v>432116072283</v>
          </cell>
          <cell r="R209" t="str">
            <v>HIFUTURE VOCALIST 100 SILVER DEMO</v>
          </cell>
        </row>
        <row r="210">
          <cell r="Q210">
            <v>432116072282</v>
          </cell>
          <cell r="R210" t="str">
            <v>HIFUTURE GRAVITY BLACK DEMO</v>
          </cell>
        </row>
        <row r="211">
          <cell r="Q211">
            <v>432116072281</v>
          </cell>
          <cell r="R211" t="str">
            <v>HIFUTURE ALPHA BLACK DEMO</v>
          </cell>
        </row>
        <row r="212">
          <cell r="Q212">
            <v>432121040129</v>
          </cell>
          <cell r="R212" t="str">
            <v>HP K7B87A DESKJET 1112 PRINTER FOC</v>
          </cell>
        </row>
        <row r="213">
          <cell r="Q213">
            <v>432121040137</v>
          </cell>
          <cell r="R213" t="str">
            <v>HP-NB F5S29B DESKJET INK ADV 2135 AiOFOC</v>
          </cell>
        </row>
        <row r="214">
          <cell r="Q214">
            <v>432115030013</v>
          </cell>
          <cell r="R214" t="str">
            <v>HP VQ981PA COMPAQ PRE CQ40-606TU NB PC</v>
          </cell>
        </row>
        <row r="215">
          <cell r="Q215">
            <v>432115030014</v>
          </cell>
          <cell r="R215" t="str">
            <v>HP VQ984PA COMPAQ PRE CQ40-609TU NB PC</v>
          </cell>
        </row>
        <row r="216">
          <cell r="Q216">
            <v>432115030017</v>
          </cell>
          <cell r="R216" t="str">
            <v>HP VW405PA COMPAQ 510 14 1GB/320 BLK PC</v>
          </cell>
        </row>
        <row r="217">
          <cell r="Q217">
            <v>432115030018</v>
          </cell>
          <cell r="R217" t="str">
            <v>HP WJ599PA COMPAQ 510 14 1GB/320 BLK PC</v>
          </cell>
        </row>
        <row r="218">
          <cell r="Q218">
            <v>432115030019</v>
          </cell>
          <cell r="R218" t="str">
            <v>HP WJ618PA COMPAQ 511 14 2GB/250 BLK PC</v>
          </cell>
        </row>
        <row r="219">
          <cell r="Q219">
            <v>432115030020</v>
          </cell>
          <cell r="R219" t="str">
            <v>HP WJ851PA COMPAQ PRE CQ40-730TU NB PC</v>
          </cell>
        </row>
        <row r="220">
          <cell r="Q220">
            <v>432014021029</v>
          </cell>
          <cell r="R220" t="str">
            <v>HP-NB KHX426S15IB2/8 8GB 2666MHZ D4BKFOC</v>
          </cell>
        </row>
        <row r="221">
          <cell r="Q221">
            <v>432115032317</v>
          </cell>
          <cell r="R221" t="str">
            <v>HP 6ML25PA 14S-DK0002AU R3-3200U</v>
          </cell>
        </row>
        <row r="222">
          <cell r="Q222">
            <v>432115032319</v>
          </cell>
          <cell r="R222" t="str">
            <v>HP 6SD79PA 14S-DK0021AU A6-9225</v>
          </cell>
        </row>
        <row r="223">
          <cell r="Q223">
            <v>432115032320</v>
          </cell>
          <cell r="R223" t="str">
            <v>HP 6SD81PA 14S-DK0022AU R7-3700U</v>
          </cell>
        </row>
        <row r="224">
          <cell r="Q224">
            <v>432115032323</v>
          </cell>
          <cell r="R224" t="str">
            <v>HP 6XA36PA 15S-DU0036TX I3-7020U</v>
          </cell>
        </row>
        <row r="225">
          <cell r="Q225">
            <v>432115032328</v>
          </cell>
          <cell r="R225" t="str">
            <v>HP 7BJ41PA 14S-DK0079AU R5-3500U</v>
          </cell>
        </row>
        <row r="226">
          <cell r="Q226">
            <v>432115032299</v>
          </cell>
          <cell r="R226" t="str">
            <v>HP 6VZ04PA 15S-DU0048TU N5000</v>
          </cell>
        </row>
        <row r="227">
          <cell r="Q227">
            <v>432115032267</v>
          </cell>
          <cell r="R227" t="str">
            <v>HP 6LM18PA 14-CF1012TU I5-8265U</v>
          </cell>
        </row>
        <row r="228">
          <cell r="Q228">
            <v>432115032292</v>
          </cell>
          <cell r="R228" t="str">
            <v>HP 6GP61PA 14S-CF0058TU N4000</v>
          </cell>
        </row>
        <row r="229">
          <cell r="Q229">
            <v>432115032293</v>
          </cell>
          <cell r="R229" t="str">
            <v>HP 6GP62PA 14S-CF0059TU N5000</v>
          </cell>
        </row>
        <row r="230">
          <cell r="Q230">
            <v>432115032294</v>
          </cell>
          <cell r="R230" t="str">
            <v>HP 6GP68PA 14S-CF0066TX I3-7020U</v>
          </cell>
        </row>
        <row r="231">
          <cell r="Q231">
            <v>432115032336</v>
          </cell>
          <cell r="R231" t="str">
            <v>HP 7KM86PA PAV GAMING 15-DK0140TX</v>
          </cell>
        </row>
        <row r="232">
          <cell r="Q232">
            <v>432115032337</v>
          </cell>
          <cell r="R232" t="str">
            <v>HP 7KM91PA PAV GAMING 15-DK0141TX</v>
          </cell>
        </row>
        <row r="233">
          <cell r="Q233">
            <v>432115032298</v>
          </cell>
          <cell r="R233" t="str">
            <v>HP 6VZ03PA 15S-DU0047TU N4000</v>
          </cell>
        </row>
        <row r="234">
          <cell r="Q234">
            <v>432018240589</v>
          </cell>
          <cell r="R234" t="str">
            <v>HP-NB KT DTIG4/32GB USB 3.0 DT G432GBFOC</v>
          </cell>
        </row>
        <row r="235">
          <cell r="Q235">
            <v>432115033147</v>
          </cell>
          <cell r="R235" t="str">
            <v>HP-NB BUNDLE KVR26S19D8/16 16GB SODIMMD4</v>
          </cell>
        </row>
        <row r="236">
          <cell r="Q236">
            <v>432115033457</v>
          </cell>
          <cell r="R236" t="str">
            <v>HP-NB U8LJ3E CAREPACKEXTENDEDWARRANTY3YR</v>
          </cell>
        </row>
        <row r="237">
          <cell r="Q237">
            <v>432115031110</v>
          </cell>
          <cell r="R237" t="str">
            <v>HP J8C27PA 14-G013AX NB PC</v>
          </cell>
        </row>
        <row r="238">
          <cell r="Q238">
            <v>432115031111</v>
          </cell>
          <cell r="R238" t="str">
            <v>HP J6M09PA 14-R040TU NB PC</v>
          </cell>
        </row>
        <row r="239">
          <cell r="Q239">
            <v>432115031112</v>
          </cell>
          <cell r="R239" t="str">
            <v>HP J8C25PA 14-R024TX NB PC</v>
          </cell>
        </row>
        <row r="240">
          <cell r="Q240">
            <v>432115031113</v>
          </cell>
          <cell r="R240" t="str">
            <v>HP J8C26PA 14-R025TX NB PC</v>
          </cell>
        </row>
        <row r="241">
          <cell r="Q241">
            <v>811118180116</v>
          </cell>
          <cell r="R241" t="str">
            <v>HP U0H91E CAREPACK 3YRS</v>
          </cell>
        </row>
        <row r="242">
          <cell r="Q242">
            <v>432115031030</v>
          </cell>
          <cell r="R242" t="str">
            <v>HP G0A32PA PAVILION 14-N228TX TOUCHSMART</v>
          </cell>
        </row>
        <row r="243">
          <cell r="Q243">
            <v>432115031230</v>
          </cell>
          <cell r="R243" t="str">
            <v>HP L3A06PA 14-R238TU</v>
          </cell>
        </row>
        <row r="244">
          <cell r="Q244">
            <v>432115031231</v>
          </cell>
          <cell r="R244" t="str">
            <v>HP L3A04PA 14-R219TX</v>
          </cell>
        </row>
        <row r="245">
          <cell r="Q245">
            <v>432115031232</v>
          </cell>
          <cell r="R245" t="str">
            <v>HP L3A05PA 14-R220TX</v>
          </cell>
        </row>
        <row r="246">
          <cell r="Q246">
            <v>432115031233</v>
          </cell>
          <cell r="R246" t="str">
            <v>HP M2X38PA 14-R256TU NOTEBOOK PC</v>
          </cell>
        </row>
        <row r="247">
          <cell r="Q247">
            <v>432115031234</v>
          </cell>
          <cell r="R247" t="str">
            <v>HP M2X39PA 14-R257TU NOTEBOOK PC</v>
          </cell>
        </row>
        <row r="248">
          <cell r="Q248">
            <v>432115031192</v>
          </cell>
          <cell r="R248" t="str">
            <v>HP K5C41PA STREAM 11-D001TU</v>
          </cell>
        </row>
        <row r="249">
          <cell r="Q249">
            <v>432115031193</v>
          </cell>
          <cell r="R249" t="str">
            <v>HP K5C42PA STREAM 11-D002TU</v>
          </cell>
        </row>
        <row r="250">
          <cell r="Q250">
            <v>432115031194</v>
          </cell>
          <cell r="R250" t="str">
            <v>HP K5C43PA STREAM 13-C001TU</v>
          </cell>
        </row>
        <row r="251">
          <cell r="Q251">
            <v>432115031195</v>
          </cell>
          <cell r="R251" t="str">
            <v>HP K5C44PA STREAM 13-C002TU</v>
          </cell>
        </row>
        <row r="252">
          <cell r="Q252">
            <v>432115031169</v>
          </cell>
          <cell r="R252" t="str">
            <v>HP K2N58PA PAVILION X2 10-J010TU</v>
          </cell>
        </row>
        <row r="253">
          <cell r="Q253">
            <v>432115031172</v>
          </cell>
          <cell r="R253" t="str">
            <v>HP L1L79PA PAVILION 14-V215TU</v>
          </cell>
        </row>
        <row r="254">
          <cell r="Q254">
            <v>432115031175</v>
          </cell>
          <cell r="R254" t="str">
            <v>HP L1L81PA PAVILION 14-V242TX TOUCHSMART</v>
          </cell>
        </row>
        <row r="255">
          <cell r="Q255">
            <v>432115031177</v>
          </cell>
          <cell r="R255" t="str">
            <v>HP L1L83PA PAVILION 14-V244TX TOUCHSMART</v>
          </cell>
        </row>
        <row r="256">
          <cell r="Q256">
            <v>531217060082</v>
          </cell>
          <cell r="R256" t="str">
            <v>HP K8H27AA SLEEVE 14IN BLUE</v>
          </cell>
        </row>
        <row r="257">
          <cell r="Q257">
            <v>531217060080</v>
          </cell>
          <cell r="R257" t="str">
            <v>HP K7X19AA SLEEVE 11.6IN BLUE</v>
          </cell>
        </row>
        <row r="258">
          <cell r="Q258">
            <v>432115031325</v>
          </cell>
          <cell r="R258" t="str">
            <v>HP P3U57PA 14-AC145TU</v>
          </cell>
        </row>
        <row r="259">
          <cell r="Q259">
            <v>432115031326</v>
          </cell>
          <cell r="R259" t="str">
            <v>HP P3U54PA 14-AC144TU</v>
          </cell>
        </row>
        <row r="260">
          <cell r="Q260">
            <v>432115031328</v>
          </cell>
          <cell r="R260" t="str">
            <v>HP P3U59PA 14-AC121TX</v>
          </cell>
        </row>
        <row r="261">
          <cell r="Q261">
            <v>432115031333</v>
          </cell>
          <cell r="R261" t="str">
            <v>HP P6M15PA PAVILION 15-AB284TX</v>
          </cell>
        </row>
        <row r="262">
          <cell r="Q262">
            <v>432115031334</v>
          </cell>
          <cell r="R262" t="str">
            <v>HP P6M16PA PAVILION 15-AB285TX</v>
          </cell>
        </row>
        <row r="263">
          <cell r="Q263">
            <v>432115031335</v>
          </cell>
          <cell r="R263" t="str">
            <v>HP P6M19PA ENVY 13-D020TU</v>
          </cell>
        </row>
        <row r="264">
          <cell r="Q264">
            <v>432115031336</v>
          </cell>
          <cell r="R264" t="str">
            <v>HP P6M20PA STREAM 13-E 105TU</v>
          </cell>
        </row>
        <row r="265">
          <cell r="Q265">
            <v>432115031337</v>
          </cell>
          <cell r="R265" t="str">
            <v>HP P6M21PA STREAM PC 11-R009TU</v>
          </cell>
        </row>
        <row r="266">
          <cell r="Q266">
            <v>432115031338</v>
          </cell>
          <cell r="R266" t="str">
            <v>HP P6M22PA STREAM 11-R010TU</v>
          </cell>
        </row>
        <row r="267">
          <cell r="Q267">
            <v>432115031283</v>
          </cell>
          <cell r="R267" t="str">
            <v>HP P3U58PA 14-AC146TU</v>
          </cell>
        </row>
        <row r="268">
          <cell r="Q268">
            <v>432115031284</v>
          </cell>
          <cell r="R268" t="str">
            <v>HP P3D24PA 14-AC136TU</v>
          </cell>
        </row>
        <row r="269">
          <cell r="Q269">
            <v>432115031411</v>
          </cell>
          <cell r="R269" t="str">
            <v>HP T0Z19PA PAVILION GAMING 15-AK032TX</v>
          </cell>
        </row>
        <row r="270">
          <cell r="Q270">
            <v>521615141192</v>
          </cell>
          <cell r="R270" t="str">
            <v>HP-NB KINGSTON HYPER X CLOUD CORE FOC</v>
          </cell>
        </row>
        <row r="271">
          <cell r="Q271">
            <v>432117080375</v>
          </cell>
          <cell r="R271" t="str">
            <v>HP-NB RAZER MOUSE FOC</v>
          </cell>
        </row>
        <row r="272">
          <cell r="Q272">
            <v>432115031507</v>
          </cell>
          <cell r="R272" t="str">
            <v>HP X1G00PA 14-AL021TX I5-6200U</v>
          </cell>
        </row>
        <row r="273">
          <cell r="Q273">
            <v>432115031508</v>
          </cell>
          <cell r="R273" t="str">
            <v>HP X1G01PA 14-AL022TX I5-6200U</v>
          </cell>
        </row>
        <row r="274">
          <cell r="Q274">
            <v>432115031509</v>
          </cell>
          <cell r="R274" t="str">
            <v>HP X1G02PA 14-AL023TX I7-6500U</v>
          </cell>
        </row>
        <row r="275">
          <cell r="Q275">
            <v>432115031510</v>
          </cell>
          <cell r="R275" t="str">
            <v>HP X1G03PA 14-AL024TX I7-6500U</v>
          </cell>
        </row>
        <row r="276">
          <cell r="Q276">
            <v>432115031478</v>
          </cell>
          <cell r="R276" t="str">
            <v>HP W8H51PA 240 G4 I5-200U SILVER</v>
          </cell>
        </row>
        <row r="277">
          <cell r="Q277">
            <v>432115031479</v>
          </cell>
          <cell r="R277" t="str">
            <v>HP T5R02PA 14-AC178TU BLACK</v>
          </cell>
        </row>
        <row r="278">
          <cell r="Q278">
            <v>432115031497</v>
          </cell>
          <cell r="R278" t="str">
            <v>HP X3C42PA 14-AM034TX I3-5005U(SMB0)</v>
          </cell>
        </row>
        <row r="279">
          <cell r="Q279">
            <v>432115031498</v>
          </cell>
          <cell r="R279" t="str">
            <v>HP X3C43PA 14-AM035TX I3-5005U(SMB0)</v>
          </cell>
        </row>
        <row r="280">
          <cell r="Q280">
            <v>432115031511</v>
          </cell>
          <cell r="R280" t="str">
            <v>HP X4G02PA 15-AS038TU I7-6500U</v>
          </cell>
        </row>
        <row r="281">
          <cell r="Q281">
            <v>432115031487</v>
          </cell>
          <cell r="R281" t="str">
            <v>HP X0H01PA 14-AM032TU I3-5005U(SMB0)</v>
          </cell>
        </row>
        <row r="282">
          <cell r="Q282">
            <v>432115031488</v>
          </cell>
          <cell r="R282" t="str">
            <v>HP X0H02PA 14-AM033TU I3-5005U(SMB0)</v>
          </cell>
        </row>
        <row r="283">
          <cell r="Q283">
            <v>432115031489</v>
          </cell>
          <cell r="R283" t="str">
            <v>HP X0H03PA 14-AM029TX I5-6200U</v>
          </cell>
        </row>
        <row r="284">
          <cell r="Q284">
            <v>432115031490</v>
          </cell>
          <cell r="R284" t="str">
            <v>HP X1F98PA 14-AM031TX I5-6200U</v>
          </cell>
        </row>
        <row r="285">
          <cell r="Q285">
            <v>432115031491</v>
          </cell>
          <cell r="R285" t="str">
            <v>HP X1H06PA 14-AM059TU I5-6200U</v>
          </cell>
        </row>
        <row r="286">
          <cell r="Q286">
            <v>432115031492</v>
          </cell>
          <cell r="R286" t="str">
            <v>HP X3B72PA 14-AM065TU CELERON-N3060</v>
          </cell>
        </row>
        <row r="287">
          <cell r="Q287">
            <v>432115031493</v>
          </cell>
          <cell r="R287" t="str">
            <v>HP X3B73PA 14-AM066TU CELERON-N3060</v>
          </cell>
        </row>
        <row r="288">
          <cell r="Q288">
            <v>432115031494</v>
          </cell>
          <cell r="R288" t="str">
            <v>HP X3B77PA 14-AN012AU A6-7310</v>
          </cell>
        </row>
        <row r="289">
          <cell r="Q289">
            <v>432115031495</v>
          </cell>
          <cell r="R289" t="str">
            <v>HP X3B78PA 14-AN013AU E2-7110</v>
          </cell>
        </row>
        <row r="290">
          <cell r="Q290">
            <v>432115031496</v>
          </cell>
          <cell r="R290" t="str">
            <v>HP X3C40PA 14-AM070TU PENTIUM-N3710</v>
          </cell>
        </row>
        <row r="291">
          <cell r="Q291">
            <v>432115031499</v>
          </cell>
          <cell r="R291" t="str">
            <v>HP X0H19PA 15-BA007AX A8-7410</v>
          </cell>
        </row>
        <row r="292">
          <cell r="Q292">
            <v>432115031500</v>
          </cell>
          <cell r="R292" t="str">
            <v>HP X3C06PA 15-BC018TX I7-6700HQ</v>
          </cell>
        </row>
        <row r="293">
          <cell r="Q293">
            <v>432115031501</v>
          </cell>
          <cell r="R293" t="str">
            <v>HP X3C10PA 15-AU064TX I5-6200U</v>
          </cell>
        </row>
        <row r="294">
          <cell r="Q294">
            <v>432115031502</v>
          </cell>
          <cell r="R294" t="str">
            <v>HP X3C11PA 15-AU065TX I7-6500U</v>
          </cell>
        </row>
        <row r="295">
          <cell r="Q295">
            <v>432115031503</v>
          </cell>
          <cell r="R295" t="str">
            <v>HP X3C12PA 15-AU066TX I7-6500U</v>
          </cell>
        </row>
        <row r="296">
          <cell r="Q296">
            <v>432115031504</v>
          </cell>
          <cell r="R296" t="str">
            <v>HP X3C45PA 15-AU075TX I5-6200U</v>
          </cell>
        </row>
        <row r="297">
          <cell r="Q297">
            <v>432115031523</v>
          </cell>
          <cell r="R297" t="str">
            <v>HP X9J72PA 11-F108TU CELERON-N2840</v>
          </cell>
        </row>
        <row r="298">
          <cell r="Q298">
            <v>432115031532</v>
          </cell>
          <cell r="R298" t="str">
            <v>HP Y4F54PA 14-AM103TX I5-7200U</v>
          </cell>
        </row>
        <row r="299">
          <cell r="Q299">
            <v>432115031522</v>
          </cell>
          <cell r="R299" t="str">
            <v>HP X9J71PA 11-F107TU CELERON-N2840</v>
          </cell>
        </row>
        <row r="300">
          <cell r="Q300">
            <v>432115031533</v>
          </cell>
          <cell r="R300" t="str">
            <v>HP X9K00PA PAVILION X360 11-U048TU</v>
          </cell>
        </row>
        <row r="301">
          <cell r="Q301">
            <v>432115031534</v>
          </cell>
          <cell r="R301" t="str">
            <v>HP X9K50PA STREAM 11-Y001TU CELERN-N3060</v>
          </cell>
        </row>
        <row r="302">
          <cell r="Q302">
            <v>432115031535</v>
          </cell>
          <cell r="R302" t="str">
            <v>HP Y4F63PA PAVILION X360 11-U056TU</v>
          </cell>
        </row>
        <row r="303">
          <cell r="Q303">
            <v>432115031526</v>
          </cell>
          <cell r="R303" t="str">
            <v>HP X3B74PA 14-AM067TU I5-6200U</v>
          </cell>
        </row>
        <row r="304">
          <cell r="Q304">
            <v>432115031528</v>
          </cell>
          <cell r="R304" t="str">
            <v>HP X9K47PA 15-AU108TX I5-7200U</v>
          </cell>
        </row>
        <row r="305">
          <cell r="Q305">
            <v>432115031529</v>
          </cell>
          <cell r="R305" t="str">
            <v>HP X9K48PA 15-AU109TX I5-7200U</v>
          </cell>
        </row>
        <row r="306">
          <cell r="Q306">
            <v>432115031530</v>
          </cell>
          <cell r="R306" t="str">
            <v>HP X9K49PA 15-AU110TX I7-7500U</v>
          </cell>
        </row>
        <row r="307">
          <cell r="Q307">
            <v>432115031531</v>
          </cell>
          <cell r="R307" t="str">
            <v>HP X9K52PA 14-AM101TX I5-7200U</v>
          </cell>
        </row>
        <row r="308">
          <cell r="Q308">
            <v>432115031554</v>
          </cell>
          <cell r="R308" t="str">
            <v>HP X1F97PA ENVY 13-D132TU I7-6500U</v>
          </cell>
        </row>
        <row r="309">
          <cell r="Q309">
            <v>432115031591</v>
          </cell>
          <cell r="R309" t="str">
            <v>HP Z1D39PA X360 CONVERTIBLE 11-AB001TU</v>
          </cell>
        </row>
        <row r="310">
          <cell r="Q310">
            <v>432115031592</v>
          </cell>
          <cell r="R310" t="str">
            <v>HP Z1D40PA X360 CONVERTIBLE 11-AB002TU</v>
          </cell>
        </row>
        <row r="311">
          <cell r="Q311">
            <v>432115031593</v>
          </cell>
          <cell r="R311" t="str">
            <v>HP Z1D41PA X360 CONVERTIBLE 11-AB003TU</v>
          </cell>
        </row>
        <row r="312">
          <cell r="Q312">
            <v>432115031594</v>
          </cell>
          <cell r="R312" t="str">
            <v>HP Z1D42PA X360 CONVERTIBLE 11-AB004TU</v>
          </cell>
        </row>
        <row r="313">
          <cell r="Q313">
            <v>432115031595</v>
          </cell>
          <cell r="R313" t="str">
            <v>HP Z4P72PA ENVY 13-AB002TU I5-7200U</v>
          </cell>
        </row>
        <row r="314">
          <cell r="Q314">
            <v>432115031654</v>
          </cell>
          <cell r="R314" t="str">
            <v>HP 1HP65PA 14-AM133TX I5-7200U</v>
          </cell>
        </row>
        <row r="315">
          <cell r="Q315">
            <v>432115031655</v>
          </cell>
          <cell r="R315" t="str">
            <v>HP 1HP67PA 14-AM135TX I5-7200U</v>
          </cell>
        </row>
        <row r="316">
          <cell r="Q316">
            <v>432115031682</v>
          </cell>
          <cell r="R316" t="str">
            <v>HP 1PL68PA 14-AM520TU I3-6006U</v>
          </cell>
        </row>
        <row r="317">
          <cell r="Q317">
            <v>432115031650</v>
          </cell>
          <cell r="R317" t="str">
            <v>HP 1DF65PA X360 CONVERTIBLE 11-AB025TU</v>
          </cell>
        </row>
        <row r="318">
          <cell r="Q318">
            <v>432115031651</v>
          </cell>
          <cell r="R318" t="str">
            <v>HP 1DF66PA X360 CONVERTIBLE 11-AB026TU</v>
          </cell>
        </row>
        <row r="319">
          <cell r="Q319">
            <v>432115031652</v>
          </cell>
          <cell r="R319" t="str">
            <v>HP 1DF67PA X360 CONVERTIBLE 11-AB027TU</v>
          </cell>
        </row>
        <row r="320">
          <cell r="Q320">
            <v>432115031653</v>
          </cell>
          <cell r="R320" t="str">
            <v>HP 1DF68PA X360 CONVERTIBLE 11-AB028TU</v>
          </cell>
        </row>
        <row r="321">
          <cell r="Q321">
            <v>432115031656</v>
          </cell>
          <cell r="R321" t="str">
            <v>HP Y4F55PA PAVILION X360 13-U102TU</v>
          </cell>
        </row>
        <row r="322">
          <cell r="Q322">
            <v>432115031691</v>
          </cell>
          <cell r="R322" t="str">
            <v>HP 2DN67PA PAVILLION POWER 15-CB013TX</v>
          </cell>
        </row>
        <row r="323">
          <cell r="Q323">
            <v>432115031692</v>
          </cell>
          <cell r="R323" t="str">
            <v>HP 2FL10PA 14-AM521TU CELERON</v>
          </cell>
        </row>
        <row r="324">
          <cell r="Q324">
            <v>432115031693</v>
          </cell>
          <cell r="R324" t="str">
            <v>HP 2FL11PA 14-AM056TX I3-6006U</v>
          </cell>
        </row>
        <row r="325">
          <cell r="Q325">
            <v>432115031694</v>
          </cell>
          <cell r="R325" t="str">
            <v>HP 2FL12PA 14-AM522TU I3-6006U</v>
          </cell>
        </row>
        <row r="326">
          <cell r="Q326">
            <v>432115031709</v>
          </cell>
          <cell r="R326" t="str">
            <v>HP 2GD98PA 14-BS073TX I5-7200</v>
          </cell>
        </row>
        <row r="327">
          <cell r="Q327">
            <v>432115031717</v>
          </cell>
          <cell r="R327" t="str">
            <v>HP 2GD16PA PAVILION 15-CC739TX I7-7500</v>
          </cell>
        </row>
        <row r="328">
          <cell r="Q328">
            <v>432115031718</v>
          </cell>
          <cell r="R328" t="str">
            <v>HP 2GD17PA PAVILION 15-CC740TX I7-7500</v>
          </cell>
        </row>
        <row r="329">
          <cell r="Q329">
            <v>432115031695</v>
          </cell>
          <cell r="R329" t="str">
            <v>HP 2FL83PA 14-BS065TX I3-6006U</v>
          </cell>
        </row>
        <row r="330">
          <cell r="Q330">
            <v>432115031696</v>
          </cell>
          <cell r="R330" t="str">
            <v>HP 2GD14PA PAVILION 15-CC737TX I5-7200</v>
          </cell>
        </row>
        <row r="331">
          <cell r="Q331">
            <v>432115031697</v>
          </cell>
          <cell r="R331" t="str">
            <v>HP 2GD15PA PAVILION 15-CC738TX I5-7200</v>
          </cell>
        </row>
        <row r="332">
          <cell r="Q332">
            <v>432115031698</v>
          </cell>
          <cell r="R332" t="str">
            <v>HP 2GD18PA PAVILLION POWER 15-CB090TX</v>
          </cell>
        </row>
        <row r="333">
          <cell r="Q333">
            <v>432115031699</v>
          </cell>
          <cell r="R333" t="str">
            <v>HP 2GD25PA ENVY 13-AD057TU I5-7200</v>
          </cell>
        </row>
        <row r="334">
          <cell r="Q334">
            <v>432115031700</v>
          </cell>
          <cell r="R334" t="str">
            <v>HP 2GD26PA ENVY 13-AD037TX I5-7200</v>
          </cell>
        </row>
        <row r="335">
          <cell r="Q335">
            <v>432115031701</v>
          </cell>
          <cell r="R335" t="str">
            <v>HP 2GD27PA ENVY 13-AD038TX I5-7200</v>
          </cell>
        </row>
        <row r="336">
          <cell r="Q336">
            <v>432115031702</v>
          </cell>
          <cell r="R336" t="str">
            <v>HP 2GD31PA PAVILLION  X360 11-AD025TU</v>
          </cell>
        </row>
        <row r="337">
          <cell r="Q337">
            <v>432115031703</v>
          </cell>
          <cell r="R337" t="str">
            <v>HP 2GD32PA PAVILLION X360 14-BA045TU</v>
          </cell>
        </row>
        <row r="338">
          <cell r="Q338">
            <v>432115031704</v>
          </cell>
          <cell r="R338" t="str">
            <v>HP 2GD33PA PAVILLION X360 14-BA046TU</v>
          </cell>
        </row>
        <row r="339">
          <cell r="Q339">
            <v>432115031706</v>
          </cell>
          <cell r="R339" t="str">
            <v>HP 2GD95PA 14-BS559TU CELERON</v>
          </cell>
        </row>
        <row r="340">
          <cell r="Q340">
            <v>432115031707</v>
          </cell>
          <cell r="R340" t="str">
            <v>HP 2GD96PA 14-BS560TU I3-6006U</v>
          </cell>
        </row>
        <row r="341">
          <cell r="Q341">
            <v>432115031708</v>
          </cell>
          <cell r="R341" t="str">
            <v>HP 2GD97PA 14-BS072TX I5-7200</v>
          </cell>
        </row>
        <row r="342">
          <cell r="Q342">
            <v>432115031739</v>
          </cell>
          <cell r="R342" t="str">
            <v>HP 2LR83PA 14-BS577TU I3-6006U</v>
          </cell>
        </row>
        <row r="343">
          <cell r="Q343">
            <v>432115031778</v>
          </cell>
          <cell r="R343" t="str">
            <v>HP 2BD73PA 14-BS538TU CELERON</v>
          </cell>
        </row>
        <row r="344">
          <cell r="Q344">
            <v>432115031780</v>
          </cell>
          <cell r="R344" t="str">
            <v>HP 2GD08PA PAVILION 14-BF060TX I5-7200</v>
          </cell>
        </row>
        <row r="345">
          <cell r="Q345">
            <v>432115031781</v>
          </cell>
          <cell r="R345" t="str">
            <v>HP 2GD09PA PAVILION 14-BF061TX I5-7200</v>
          </cell>
        </row>
        <row r="346">
          <cell r="Q346">
            <v>432115031782</v>
          </cell>
          <cell r="R346" t="str">
            <v>HP 2GD10PA PAVILION 14-BF062TX I5-7200</v>
          </cell>
        </row>
        <row r="347">
          <cell r="Q347">
            <v>432115031783</v>
          </cell>
          <cell r="R347" t="str">
            <v>HP 2GD11PA PAVILION 14-BF063TX I7-7500</v>
          </cell>
        </row>
        <row r="348">
          <cell r="Q348">
            <v>432115031784</v>
          </cell>
          <cell r="R348" t="str">
            <v>HP 2GD12PA PAVILION 14-BF064TX I7-7500</v>
          </cell>
        </row>
        <row r="349">
          <cell r="Q349">
            <v>432115031785</v>
          </cell>
          <cell r="R349" t="str">
            <v>HP 2GD13PA PAVILION 14-BF065TX I7-7500</v>
          </cell>
        </row>
        <row r="350">
          <cell r="Q350">
            <v>432115031786</v>
          </cell>
          <cell r="R350" t="str">
            <v>HP 2GD28PA ENVY 13-AD058TU I7-7500</v>
          </cell>
        </row>
        <row r="351">
          <cell r="Q351">
            <v>432115031790</v>
          </cell>
          <cell r="R351" t="str">
            <v>HP 2LS54PA ENVY 13-AD114TX I7-8550U</v>
          </cell>
        </row>
        <row r="352">
          <cell r="Q352">
            <v>531217060146</v>
          </cell>
          <cell r="R352" t="str">
            <v>HP BUNDLE NORTHFACE BAG</v>
          </cell>
        </row>
        <row r="353">
          <cell r="Q353">
            <v>432115031859</v>
          </cell>
          <cell r="R353" t="str">
            <v>HP 3FQ37PA PAVILION X360 14-BA141TX</v>
          </cell>
        </row>
        <row r="354">
          <cell r="Q354">
            <v>432115031861</v>
          </cell>
          <cell r="R354" t="str">
            <v>HP 3FS03PA PAVILION X360 14-BA142TX</v>
          </cell>
        </row>
        <row r="355">
          <cell r="Q355">
            <v>432115031886</v>
          </cell>
          <cell r="R355" t="str">
            <v>HP 2LS65PA 14-BS580TU I3-6006U</v>
          </cell>
        </row>
        <row r="356">
          <cell r="Q356">
            <v>432115031843</v>
          </cell>
          <cell r="R356" t="str">
            <v>HP 2BD72PA 14-BS537TU N3060</v>
          </cell>
        </row>
        <row r="357">
          <cell r="Q357">
            <v>432115031844</v>
          </cell>
          <cell r="R357" t="str">
            <v>HP 2BD80PA 14-BW053AU A6-9220</v>
          </cell>
        </row>
        <row r="358">
          <cell r="Q358">
            <v>432115031845</v>
          </cell>
          <cell r="R358" t="str">
            <v>HP 2LS70PA PAVILION 14-BF102TX I5-8250U</v>
          </cell>
        </row>
        <row r="359">
          <cell r="Q359">
            <v>432115031847</v>
          </cell>
          <cell r="R359" t="str">
            <v>HP 2SL89PA 14-BS077TX I3-6006U</v>
          </cell>
        </row>
        <row r="360">
          <cell r="Q360">
            <v>432115031848</v>
          </cell>
          <cell r="R360" t="str">
            <v>HP 3CP68PA 14-BS589TU N3710</v>
          </cell>
        </row>
        <row r="361">
          <cell r="Q361">
            <v>531217060145</v>
          </cell>
          <cell r="R361" t="str">
            <v>HP BUNDLE JANSPORT BAG</v>
          </cell>
        </row>
        <row r="362">
          <cell r="Q362">
            <v>432115031855</v>
          </cell>
          <cell r="R362" t="str">
            <v>HP 3FQ31PA 14-BW021AX A6-9220</v>
          </cell>
        </row>
        <row r="363">
          <cell r="Q363">
            <v>432115031857</v>
          </cell>
          <cell r="R363" t="str">
            <v>HP 3FQ33PA 15-BS742TX I5-8250U</v>
          </cell>
        </row>
        <row r="364">
          <cell r="Q364">
            <v>432115031963</v>
          </cell>
          <cell r="R364" t="str">
            <v>HP 4JA15PA PAVILION 14-CE0043TX</v>
          </cell>
        </row>
        <row r="365">
          <cell r="Q365">
            <v>432115031965</v>
          </cell>
          <cell r="R365" t="str">
            <v>HP 4QK11PA ENVY 13-AH0039TX</v>
          </cell>
        </row>
        <row r="366">
          <cell r="Q366">
            <v>432115031959</v>
          </cell>
          <cell r="R366" t="str">
            <v>HP 4FV79PA 15-DA0014TU PENT N5000</v>
          </cell>
        </row>
        <row r="367">
          <cell r="Q367">
            <v>432115031960</v>
          </cell>
          <cell r="R367" t="str">
            <v>HP 4FW70PA 14-BS507TX I3-7020U</v>
          </cell>
        </row>
        <row r="368">
          <cell r="Q368">
            <v>432115031961</v>
          </cell>
          <cell r="R368" t="str">
            <v>HP 4HG48PA 15-DA0012TU CEL N4000</v>
          </cell>
        </row>
        <row r="369">
          <cell r="Q369">
            <v>432115031962</v>
          </cell>
          <cell r="R369" t="str">
            <v>HP 4JA14PA PAVILION 14-CE0047TX</v>
          </cell>
        </row>
        <row r="370">
          <cell r="Q370">
            <v>432115031971</v>
          </cell>
          <cell r="R370" t="str">
            <v>HP 4QK30PA 14-CM0011AX RYZEN 3 DISC</v>
          </cell>
        </row>
        <row r="371">
          <cell r="Q371">
            <v>432115031972</v>
          </cell>
          <cell r="R371" t="str">
            <v>HP 4QK32PA 14-CM0072AU RYZEN 3</v>
          </cell>
        </row>
        <row r="372">
          <cell r="Q372">
            <v>432115031974</v>
          </cell>
          <cell r="R372" t="str">
            <v>HP 4RJ25PA PAVILION 15-CS0095TX</v>
          </cell>
        </row>
        <row r="373">
          <cell r="Q373">
            <v>432115031907</v>
          </cell>
          <cell r="R373" t="str">
            <v>HP 2LS71PA PAVILION 14-BF103TX I5-8250U</v>
          </cell>
        </row>
        <row r="374">
          <cell r="Q374">
            <v>432115031975</v>
          </cell>
          <cell r="R374" t="str">
            <v>HP 4RJ28PA PAVILION 15-CS0096TX</v>
          </cell>
        </row>
        <row r="375">
          <cell r="Q375">
            <v>432115031976</v>
          </cell>
          <cell r="R375" t="str">
            <v>HP 4RW08PA 14-CM0080AU RYZEN 5</v>
          </cell>
        </row>
        <row r="376">
          <cell r="Q376">
            <v>432115031977</v>
          </cell>
          <cell r="R376" t="str">
            <v>HP 4RW15PA ENVY 13-AH0042TX</v>
          </cell>
        </row>
        <row r="377">
          <cell r="Q377">
            <v>432115031967</v>
          </cell>
          <cell r="R377" t="str">
            <v>HP 4QK24PA 15-DA0056TX I5-8250U</v>
          </cell>
        </row>
        <row r="378">
          <cell r="Q378">
            <v>432115031968</v>
          </cell>
          <cell r="R378" t="str">
            <v>HP 4QK27PA PAVILION X360 14-CD0105TU</v>
          </cell>
        </row>
        <row r="379">
          <cell r="Q379">
            <v>432115032077</v>
          </cell>
          <cell r="R379" t="str">
            <v>HP 5FL93PA PAVILION GAMING 15-CX0186TX</v>
          </cell>
        </row>
        <row r="380">
          <cell r="Q380">
            <v>531217060164</v>
          </cell>
          <cell r="R380" t="str">
            <v>HP BUNDLE B9J08PA SPECTRE 13 SLEEVE</v>
          </cell>
        </row>
        <row r="381">
          <cell r="Q381">
            <v>432115032020</v>
          </cell>
          <cell r="R381" t="str">
            <v>HP M4Y17PA PAVILLION X360 11-K023TU</v>
          </cell>
        </row>
        <row r="382">
          <cell r="Q382">
            <v>432115032021</v>
          </cell>
          <cell r="R382" t="str">
            <v>HP Y4G01PA ENVY 15-AS105TU</v>
          </cell>
        </row>
        <row r="383">
          <cell r="Q383">
            <v>432115032078</v>
          </cell>
          <cell r="R383" t="str">
            <v>HP 4QK31PA ENVY 13-AH0039TX I5-8250U</v>
          </cell>
        </row>
        <row r="384">
          <cell r="Q384">
            <v>432115032079</v>
          </cell>
          <cell r="R384" t="str">
            <v>HP 4QK33PA ENVY 13-AH0040TX I7-8550U</v>
          </cell>
        </row>
        <row r="385">
          <cell r="Q385">
            <v>432115032073</v>
          </cell>
          <cell r="R385" t="str">
            <v>HP 4SA43PA 14-CK0018TX I3-7020U</v>
          </cell>
        </row>
        <row r="386">
          <cell r="Q386">
            <v>432115032074</v>
          </cell>
          <cell r="R386" t="str">
            <v>HP 5EA35PA 14-CK0102TU N4000</v>
          </cell>
        </row>
        <row r="387">
          <cell r="Q387">
            <v>432115032075</v>
          </cell>
          <cell r="R387" t="str">
            <v>HP 5EA36PA 14-CK0105TU N5000</v>
          </cell>
        </row>
        <row r="388">
          <cell r="Q388">
            <v>432115032076</v>
          </cell>
          <cell r="R388" t="str">
            <v>HP 5FL92PA 14-CK0022TX I5-8250U</v>
          </cell>
        </row>
        <row r="389">
          <cell r="Q389">
            <v>432115030074</v>
          </cell>
          <cell r="R389" t="str">
            <v>HP VQ927PA PAVILION DV3-2106TU NB PC A/P</v>
          </cell>
        </row>
        <row r="390">
          <cell r="Q390">
            <v>432115030119</v>
          </cell>
          <cell r="R390" t="str">
            <v>HP VV782PA MINI 110 BY STDIO TBOONTJE PC</v>
          </cell>
        </row>
        <row r="391">
          <cell r="Q391">
            <v>432115030120</v>
          </cell>
          <cell r="R391" t="str">
            <v>HP WX036PA PAVILION DM4-1009TX NB PC</v>
          </cell>
        </row>
        <row r="392">
          <cell r="Q392">
            <v>432115030121</v>
          </cell>
          <cell r="R392" t="str">
            <v>HP XC603PA COMPAQ PRE CQ42-292TX NB PC</v>
          </cell>
        </row>
        <row r="393">
          <cell r="Q393">
            <v>432115030104</v>
          </cell>
          <cell r="R393" t="str">
            <v>HP WK947PA COMPAQ PRE CQ41-217TU NB PC</v>
          </cell>
        </row>
        <row r="394">
          <cell r="Q394">
            <v>432115030105</v>
          </cell>
          <cell r="R394" t="str">
            <v>HP WY301PA COMPAQ PRE CQ42-254TU NB PC</v>
          </cell>
        </row>
        <row r="395">
          <cell r="Q395">
            <v>432115030106</v>
          </cell>
          <cell r="R395" t="str">
            <v>HP WZ587PA COMPAQ PRE CQ42-268TX NB PC</v>
          </cell>
        </row>
        <row r="396">
          <cell r="Q396">
            <v>432115030107</v>
          </cell>
          <cell r="R396" t="str">
            <v>HP XB803PA COMPAQ PRE CQ42-263TU NB PC</v>
          </cell>
        </row>
        <row r="397">
          <cell r="Q397">
            <v>432115030190</v>
          </cell>
          <cell r="R397" t="str">
            <v>HP LD983PA PAVILION DM4-1125TX NB PC</v>
          </cell>
        </row>
        <row r="398">
          <cell r="Q398">
            <v>432115030186</v>
          </cell>
          <cell r="R398" t="str">
            <v>HP WT903PA COMPAQ 420 14 2GB/320 BLK PC</v>
          </cell>
        </row>
        <row r="399">
          <cell r="Q399">
            <v>432115030163</v>
          </cell>
          <cell r="R399" t="str">
            <v>HP XP541PA PAVILION DM4-1102TX NB PC</v>
          </cell>
        </row>
        <row r="400">
          <cell r="Q400">
            <v>432115030164</v>
          </cell>
          <cell r="R400" t="str">
            <v>HP XP551PA PAVILION DV3-4102TX NB PC</v>
          </cell>
        </row>
        <row r="401">
          <cell r="Q401">
            <v>432115030165</v>
          </cell>
          <cell r="R401" t="str">
            <v>HP XP552PA PAVILION DV3-4103TX NB PC</v>
          </cell>
        </row>
        <row r="402">
          <cell r="Q402">
            <v>432115030147</v>
          </cell>
          <cell r="R402" t="str">
            <v>HP XB718PA COMPAQ 511 14 2GB/320 BLK PC</v>
          </cell>
        </row>
        <row r="403">
          <cell r="Q403">
            <v>432115030199</v>
          </cell>
          <cell r="R403" t="str">
            <v>HP LK385PA G42-476TX NB PC</v>
          </cell>
        </row>
        <row r="404">
          <cell r="Q404">
            <v>432115030195</v>
          </cell>
          <cell r="R404" t="str">
            <v>HP LD935PA PAVILION DM4-1209TX NB PC</v>
          </cell>
        </row>
        <row r="405">
          <cell r="Q405">
            <v>432115030196</v>
          </cell>
          <cell r="R405" t="str">
            <v>HP LG241PA PAVILION DV3-4210TX NB PC</v>
          </cell>
        </row>
        <row r="406">
          <cell r="Q406">
            <v>432115030469</v>
          </cell>
          <cell r="R406" t="str">
            <v>HP QG319PA PAVILION DV4-3138TX NB PC</v>
          </cell>
        </row>
        <row r="407">
          <cell r="Q407">
            <v>432115030470</v>
          </cell>
          <cell r="R407" t="str">
            <v>HP QG320PA PAVILION DV4-3139TX NB PC</v>
          </cell>
        </row>
        <row r="408">
          <cell r="Q408">
            <v>432115030241</v>
          </cell>
          <cell r="R408" t="str">
            <v>HP LN345PA PAVILION DV4-3006TX NB PC</v>
          </cell>
        </row>
        <row r="409">
          <cell r="Q409">
            <v>432115030211</v>
          </cell>
          <cell r="R409" t="str">
            <v>HP WT922PA COMPAQ 420 14 2GB/500 BLK PC</v>
          </cell>
        </row>
        <row r="410">
          <cell r="Q410">
            <v>432115030217</v>
          </cell>
          <cell r="R410" t="str">
            <v>HP LQ862PA PAVILION DM1-3016AU NB PC</v>
          </cell>
        </row>
        <row r="411">
          <cell r="Q411">
            <v>432115030234</v>
          </cell>
          <cell r="R411" t="str">
            <v>HP LK443PA G4-1001TX NB PC</v>
          </cell>
        </row>
        <row r="412">
          <cell r="Q412">
            <v>432115030235</v>
          </cell>
          <cell r="R412" t="str">
            <v>HP LN346PA PAVILION DV6-6001TX NB PC</v>
          </cell>
        </row>
        <row r="413">
          <cell r="Q413">
            <v>432115030236</v>
          </cell>
          <cell r="R413" t="str">
            <v>HP LN352PA PAVILION DV4-3007TX NB PC</v>
          </cell>
        </row>
        <row r="414">
          <cell r="Q414">
            <v>432115030239</v>
          </cell>
          <cell r="R414" t="str">
            <v>HP LN391PA PAVILION DV4-3008TX NB PC</v>
          </cell>
        </row>
        <row r="415">
          <cell r="Q415">
            <v>432115030240</v>
          </cell>
          <cell r="R415" t="str">
            <v>HP LQ401PA G4-1025TX NB PC</v>
          </cell>
        </row>
        <row r="416">
          <cell r="Q416">
            <v>432115030254</v>
          </cell>
          <cell r="R416" t="str">
            <v>HP LR799PA COMPAQ PRE CQ42-403AX NB PC</v>
          </cell>
        </row>
        <row r="417">
          <cell r="Q417">
            <v>432115030258</v>
          </cell>
          <cell r="R417" t="str">
            <v>HP LV475PA COMPAQ 435 P360 2GB/500 PC</v>
          </cell>
        </row>
        <row r="418">
          <cell r="Q418">
            <v>521615140366</v>
          </cell>
          <cell r="R418" t="str">
            <v>HP A9J35PA BEATS STUDIO HD POW HPHONES</v>
          </cell>
        </row>
        <row r="419">
          <cell r="Q419">
            <v>432115030494</v>
          </cell>
          <cell r="R419" t="str">
            <v>HP B0N68PA PAVILION DM1-4118AU RED</v>
          </cell>
        </row>
        <row r="420">
          <cell r="Q420">
            <v>432115030602</v>
          </cell>
          <cell r="R420" t="str">
            <v>HP A9R78PA PAVILION G4-1342TX NB PC RED</v>
          </cell>
        </row>
        <row r="421">
          <cell r="Q421">
            <v>432115030601</v>
          </cell>
          <cell r="R421" t="str">
            <v>HP C0R18PA 4445S 4500M 14 4GB/500SIL PC</v>
          </cell>
        </row>
        <row r="422">
          <cell r="Q422">
            <v>432115030599</v>
          </cell>
          <cell r="R422" t="str">
            <v>HP C0R17PA 445S 4400M 14 4GB/500 SIL PC</v>
          </cell>
        </row>
        <row r="423">
          <cell r="Q423">
            <v>432115030647</v>
          </cell>
          <cell r="R423" t="str">
            <v>HP WP708PA MINI 210-1109TU NETBOOK RED</v>
          </cell>
        </row>
        <row r="424">
          <cell r="Q424">
            <v>432115030655</v>
          </cell>
          <cell r="R424" t="str">
            <v>HP DV6-6C06TX GENUINE 7 HOME PREM 64 NB</v>
          </cell>
        </row>
        <row r="425">
          <cell r="Q425">
            <v>432115030676</v>
          </cell>
          <cell r="R425" t="str">
            <v>HP G4-1117TX PAVILION G4-1117TX I3 1GB</v>
          </cell>
        </row>
        <row r="426">
          <cell r="Q426">
            <v>432115030691</v>
          </cell>
          <cell r="R426" t="str">
            <v>HP C7D42PA PAVILION DM1-4304AU NB PC</v>
          </cell>
        </row>
        <row r="427">
          <cell r="Q427">
            <v>432115030690</v>
          </cell>
          <cell r="R427" t="str">
            <v>HP LZ792PA CQ43-206TU NOTEBOOK PC</v>
          </cell>
        </row>
        <row r="428">
          <cell r="Q428">
            <v>432115030681</v>
          </cell>
          <cell r="R428" t="str">
            <v>HP G4-1114TX AMD RAD G4-1114TX I3 1GB</v>
          </cell>
        </row>
        <row r="429">
          <cell r="Q429">
            <v>432115030702</v>
          </cell>
          <cell r="R429" t="str">
            <v>HP C5H59PA SPECTREXT 13-2106TU ULTRAB PC</v>
          </cell>
        </row>
        <row r="430">
          <cell r="Q430">
            <v>432115030703</v>
          </cell>
          <cell r="R430" t="str">
            <v>HP C7E01PA PAVILION 14-B024TU SB I3 BK</v>
          </cell>
        </row>
        <row r="431">
          <cell r="Q431">
            <v>432115030704</v>
          </cell>
          <cell r="R431" t="str">
            <v>HP C7E02PA PAVILION 14-B025TU SB I3 RD</v>
          </cell>
        </row>
        <row r="432">
          <cell r="Q432">
            <v>432115030705</v>
          </cell>
          <cell r="R432" t="str">
            <v>HP C7E05PA PAVILION 14-B016TX SBI5 BLACK</v>
          </cell>
        </row>
        <row r="433">
          <cell r="Q433">
            <v>432115030706</v>
          </cell>
          <cell r="R433" t="str">
            <v>HP C7E06PA PAVILION 14-B017TX SB I5 RD</v>
          </cell>
        </row>
        <row r="434">
          <cell r="Q434">
            <v>432115030707</v>
          </cell>
          <cell r="R434" t="str">
            <v>HP C7E08PA PAVILION SB 14-B014AU BK</v>
          </cell>
        </row>
        <row r="435">
          <cell r="Q435">
            <v>432115030708</v>
          </cell>
          <cell r="R435" t="str">
            <v>HP C7E09PA PAVILION SB 14-B015AU RED</v>
          </cell>
        </row>
        <row r="436">
          <cell r="Q436">
            <v>432115030709</v>
          </cell>
          <cell r="R436" t="str">
            <v>HP C8J26PA 4445S 4500M 14 4G/500SIL WIN8</v>
          </cell>
        </row>
        <row r="437">
          <cell r="Q437">
            <v>432115030726</v>
          </cell>
          <cell r="R437" t="str">
            <v>HP A9R81PA PAVILION G4-1345TX I3 NB PC</v>
          </cell>
        </row>
        <row r="438">
          <cell r="Q438">
            <v>432115030759</v>
          </cell>
          <cell r="R438" t="str">
            <v>HP LZ757PA G4-1116TX NB PC RED</v>
          </cell>
        </row>
        <row r="439">
          <cell r="Q439">
            <v>432115030755</v>
          </cell>
          <cell r="R439" t="str">
            <v>HP C9M50PA PAVILION G4-2304TX NB PC</v>
          </cell>
        </row>
        <row r="440">
          <cell r="Q440">
            <v>432115030778</v>
          </cell>
          <cell r="R440" t="str">
            <v>HP NZ14PA PRESARIO CQ35 NB PC BK</v>
          </cell>
        </row>
        <row r="441">
          <cell r="Q441">
            <v>432115090052</v>
          </cell>
          <cell r="R441" t="str">
            <v>HP D5J55PA ELITEPAD 900 10.1</v>
          </cell>
        </row>
        <row r="442">
          <cell r="Q442">
            <v>432115030777</v>
          </cell>
          <cell r="R442" t="str">
            <v>HP C9M49PA PAVILION G4-2220TX NB PC</v>
          </cell>
        </row>
        <row r="443">
          <cell r="Q443">
            <v>432115030832</v>
          </cell>
          <cell r="R443" t="str">
            <v>HP D7N77PA PAVILION 14-B110AU SB RED</v>
          </cell>
        </row>
        <row r="444">
          <cell r="Q444">
            <v>432115030833</v>
          </cell>
          <cell r="R444" t="str">
            <v>HP D7N78PA PAVILION 14-B111AU SB BLACK</v>
          </cell>
        </row>
        <row r="445">
          <cell r="Q445">
            <v>432115030829</v>
          </cell>
          <cell r="R445" t="str">
            <v>HP D7P04PA PAVILION DM1-4403AU NB PC</v>
          </cell>
        </row>
        <row r="446">
          <cell r="Q446">
            <v>432115030877</v>
          </cell>
          <cell r="R446" t="str">
            <v>HP B8L72PA 1000-1115TU NO OS BLACK</v>
          </cell>
        </row>
        <row r="447">
          <cell r="Q447">
            <v>432018030901</v>
          </cell>
          <cell r="R447" t="str">
            <v>HP HTOLMX3AA5001ABB 500GB TOURO 0S03458</v>
          </cell>
        </row>
        <row r="448">
          <cell r="Q448">
            <v>432115030927</v>
          </cell>
          <cell r="R448" t="str">
            <v>HP D4B70PA 1000-1B04AU NOTEBOOK PC</v>
          </cell>
        </row>
        <row r="449">
          <cell r="Q449">
            <v>432115030928</v>
          </cell>
          <cell r="R449" t="str">
            <v>HP E4X75PA 1000-1419TU NOTEBOOK PC</v>
          </cell>
        </row>
        <row r="450">
          <cell r="Q450">
            <v>432115030976</v>
          </cell>
          <cell r="R450" t="str">
            <v>HP F6C17PA PAVILION TS 10-E008AU</v>
          </cell>
        </row>
        <row r="451">
          <cell r="Q451">
            <v>432115030985</v>
          </cell>
          <cell r="R451" t="str">
            <v>HP F7P43PA 14-D008AU</v>
          </cell>
        </row>
        <row r="452">
          <cell r="Q452">
            <v>432115030986</v>
          </cell>
          <cell r="R452" t="str">
            <v>HP F7Q28PA 14-D012AU</v>
          </cell>
        </row>
        <row r="453">
          <cell r="Q453">
            <v>432115030987</v>
          </cell>
          <cell r="R453" t="str">
            <v>HP F9Z49PA 14 CORE I3 DOS</v>
          </cell>
        </row>
        <row r="454">
          <cell r="Q454">
            <v>432115030988</v>
          </cell>
          <cell r="R454" t="str">
            <v>HP F7P95PA PAVILION 14-N202AX</v>
          </cell>
        </row>
        <row r="455">
          <cell r="Q455">
            <v>432115030989</v>
          </cell>
          <cell r="R455" t="str">
            <v>HP F7P94PA PAVILION 15-N225TX</v>
          </cell>
        </row>
        <row r="456">
          <cell r="Q456">
            <v>432115030933</v>
          </cell>
          <cell r="R456" t="str">
            <v>HP F0C00PA 1000-1406AU NOTEBOOK PC</v>
          </cell>
        </row>
        <row r="457">
          <cell r="Q457">
            <v>432115030934</v>
          </cell>
          <cell r="R457" t="str">
            <v>HP B9J45PA PAVILION G4-2104TX NB PC</v>
          </cell>
        </row>
        <row r="458">
          <cell r="Q458">
            <v>432115030943</v>
          </cell>
          <cell r="R458" t="str">
            <v>HP F0C21PA PAVILION 14-N005TU</v>
          </cell>
        </row>
        <row r="459">
          <cell r="Q459">
            <v>432115030944</v>
          </cell>
          <cell r="R459" t="str">
            <v>HP F0C22PA PAVILION 14-N006TU</v>
          </cell>
        </row>
        <row r="460">
          <cell r="Q460">
            <v>432115030945</v>
          </cell>
          <cell r="R460" t="str">
            <v>HP F0C23PA PAVILION 14-N007TU</v>
          </cell>
        </row>
        <row r="461">
          <cell r="Q461">
            <v>432115030946</v>
          </cell>
          <cell r="R461" t="str">
            <v>HP F0C24PA PAVILION 14-N008TU</v>
          </cell>
        </row>
        <row r="462">
          <cell r="Q462">
            <v>432115030951</v>
          </cell>
          <cell r="R462" t="str">
            <v>HP F2D19PA PAVILION TS 14-N053TX</v>
          </cell>
        </row>
        <row r="463">
          <cell r="Q463">
            <v>432115030952</v>
          </cell>
          <cell r="R463" t="str">
            <v>HP F2D18PA PAVILION TS 14-N052TX</v>
          </cell>
        </row>
        <row r="464">
          <cell r="Q464">
            <v>432115030947</v>
          </cell>
          <cell r="R464" t="str">
            <v>HP F2C02PA ENVY 14-K038TU</v>
          </cell>
        </row>
        <row r="465">
          <cell r="Q465">
            <v>432115030948</v>
          </cell>
          <cell r="R465" t="str">
            <v>HP F0C10PA ENVY 15-J039TX</v>
          </cell>
        </row>
        <row r="466">
          <cell r="Q466">
            <v>432115030949</v>
          </cell>
          <cell r="R466" t="str">
            <v>HP F3Z47PA  PAVILION TS 14-N040TU</v>
          </cell>
        </row>
        <row r="467">
          <cell r="Q467">
            <v>432115030950</v>
          </cell>
          <cell r="R467" t="str">
            <v>HP F2D20PA PAVILION TS 14-N054TX</v>
          </cell>
        </row>
        <row r="468">
          <cell r="Q468">
            <v>432115031026</v>
          </cell>
          <cell r="R468" t="str">
            <v>HP F7Q11PA PAVILION 14-N213TX NB PC</v>
          </cell>
        </row>
        <row r="469">
          <cell r="Q469">
            <v>432115031027</v>
          </cell>
          <cell r="R469" t="str">
            <v>HP F9Z50PA 14-D004TX NOTEBOOK PC</v>
          </cell>
        </row>
        <row r="470">
          <cell r="Q470">
            <v>432115031028</v>
          </cell>
          <cell r="R470" t="str">
            <v>HP F9Z51PA 14-D005TX NOTEBOOK PC</v>
          </cell>
        </row>
        <row r="471">
          <cell r="Q471">
            <v>432115031029</v>
          </cell>
          <cell r="R471" t="str">
            <v>HP G0A34PA PAVILION 14-N230TX TOUCHSMART</v>
          </cell>
        </row>
        <row r="472">
          <cell r="Q472">
            <v>432115031031</v>
          </cell>
          <cell r="R472" t="str">
            <v>HP G2F99PA PAVILION 11-N002TU X360</v>
          </cell>
        </row>
        <row r="473">
          <cell r="Q473">
            <v>432115030990</v>
          </cell>
          <cell r="R473" t="str">
            <v>HP F9Z53PA 14-D007TX TS</v>
          </cell>
        </row>
        <row r="474">
          <cell r="Q474">
            <v>432115030991</v>
          </cell>
          <cell r="R474" t="str">
            <v>HP F9Z52PA 14-D006TX TS</v>
          </cell>
        </row>
        <row r="475">
          <cell r="Q475">
            <v>432115030992</v>
          </cell>
          <cell r="R475" t="str">
            <v>HP F7Q30PA PAVILION 14-N215TX</v>
          </cell>
        </row>
        <row r="476">
          <cell r="Q476">
            <v>432115030993</v>
          </cell>
          <cell r="R476" t="str">
            <v>HP F7Q16PA PAVILION 14-N214TX</v>
          </cell>
        </row>
        <row r="477">
          <cell r="Q477">
            <v>432115031001</v>
          </cell>
          <cell r="R477" t="str">
            <v>HP F9Z59PA 14-D016TU NB PC</v>
          </cell>
        </row>
        <row r="478">
          <cell r="Q478">
            <v>432115031002</v>
          </cell>
          <cell r="R478" t="str">
            <v>HP F9Z60PA 14-D017TU NB PC</v>
          </cell>
        </row>
        <row r="479">
          <cell r="Q479">
            <v>432115031024</v>
          </cell>
          <cell r="R479" t="str">
            <v>HP G2G92PA PAVILION 11-E113AU NB PC</v>
          </cell>
        </row>
        <row r="480">
          <cell r="Q480">
            <v>432115031020</v>
          </cell>
          <cell r="R480" t="str">
            <v>HP G2G88PA 14-D102TX NOTEBOOK PC</v>
          </cell>
        </row>
        <row r="481">
          <cell r="Q481">
            <v>432115030994</v>
          </cell>
          <cell r="R481" t="str">
            <v>HP F7P97PA ENVY TS 14-K110TX</v>
          </cell>
        </row>
        <row r="482">
          <cell r="Q482">
            <v>432115030995</v>
          </cell>
          <cell r="R482" t="str">
            <v>HP F7P98PA ENVY TS 15-J122TX</v>
          </cell>
        </row>
        <row r="483">
          <cell r="Q483">
            <v>432115030996</v>
          </cell>
          <cell r="R483" t="str">
            <v>HP F3Z51PA PAVILION 14-N043TU</v>
          </cell>
        </row>
        <row r="484">
          <cell r="Q484">
            <v>432115030997</v>
          </cell>
          <cell r="R484" t="str">
            <v>HP F3Z50PA PAVILION 14-N042TU</v>
          </cell>
        </row>
        <row r="485">
          <cell r="Q485">
            <v>432115031021</v>
          </cell>
          <cell r="R485" t="str">
            <v>HP G0A68PA 14-D017AU NOTEBOOK PC</v>
          </cell>
        </row>
        <row r="486">
          <cell r="Q486">
            <v>432115031022</v>
          </cell>
          <cell r="R486" t="str">
            <v>HP G2G87PA 14-D019AU NOTEBOOK PC</v>
          </cell>
        </row>
        <row r="487">
          <cell r="Q487">
            <v>432115031023</v>
          </cell>
          <cell r="R487" t="str">
            <v>HP G2G00PA PAVILION 11-E117AU NB PC</v>
          </cell>
        </row>
        <row r="488">
          <cell r="Q488">
            <v>432115031086</v>
          </cell>
          <cell r="R488" t="str">
            <v>HP J6M41PA 14-R046TU NOTEBOOK PC</v>
          </cell>
        </row>
        <row r="489">
          <cell r="Q489">
            <v>432115031114</v>
          </cell>
          <cell r="R489" t="str">
            <v>HP J8C31PA 14-R101TX TOUCHSMART</v>
          </cell>
        </row>
        <row r="490">
          <cell r="Q490">
            <v>432115031115</v>
          </cell>
          <cell r="R490" t="str">
            <v>HP G8E15PA 14-R010TU NB PC</v>
          </cell>
        </row>
        <row r="491">
          <cell r="Q491">
            <v>432115031116</v>
          </cell>
          <cell r="R491" t="str">
            <v>HP J2D20PA PAVILION 14-V023TX NB PC</v>
          </cell>
        </row>
        <row r="492">
          <cell r="Q492">
            <v>432115031117</v>
          </cell>
          <cell r="R492" t="str">
            <v>HP J8C72PA PAVILION 13-B114TU NB PC</v>
          </cell>
        </row>
        <row r="493">
          <cell r="Q493">
            <v>432115031078</v>
          </cell>
          <cell r="R493" t="str">
            <v>HP J2D08PA PAVILION 14-v014TX</v>
          </cell>
        </row>
        <row r="494">
          <cell r="Q494">
            <v>432115031079</v>
          </cell>
          <cell r="R494" t="str">
            <v>HP J2D09PA PAVILION 14-v015TX</v>
          </cell>
        </row>
        <row r="495">
          <cell r="Q495">
            <v>432115031080</v>
          </cell>
          <cell r="R495" t="str">
            <v>HP J2D10PA PAVILION 14-v016TX</v>
          </cell>
        </row>
        <row r="496">
          <cell r="Q496">
            <v>432115031081</v>
          </cell>
          <cell r="R496" t="str">
            <v>HP G2F98PA PAVILION 11-N001TU X360 TSMRT</v>
          </cell>
        </row>
        <row r="497">
          <cell r="Q497">
            <v>432115031082</v>
          </cell>
          <cell r="R497" t="str">
            <v>HP J3Z54PA ENVY 15-Q006TX TOUCHSMART</v>
          </cell>
        </row>
        <row r="498">
          <cell r="Q498">
            <v>432115031063</v>
          </cell>
          <cell r="R498" t="str">
            <v>HP J2C81PA 14-G003AU</v>
          </cell>
        </row>
        <row r="499">
          <cell r="Q499">
            <v>432115031064</v>
          </cell>
          <cell r="R499" t="str">
            <v>HP G4W58PA PAVILION 10-F002AU</v>
          </cell>
        </row>
        <row r="500">
          <cell r="Q500">
            <v>432115031065</v>
          </cell>
          <cell r="R500" t="str">
            <v>HP J2D11PA PAVILION 14-V017TX TOUCHSMART</v>
          </cell>
        </row>
        <row r="501">
          <cell r="Q501">
            <v>432115031066</v>
          </cell>
          <cell r="R501" t="str">
            <v>HP J2D12PA PAVILION 14-V018TX TOUCHSMART</v>
          </cell>
        </row>
        <row r="502">
          <cell r="Q502">
            <v>432115031067</v>
          </cell>
          <cell r="R502" t="str">
            <v>HP J2D13PA PAVILION 14-V019TX TOUCHSMART</v>
          </cell>
        </row>
        <row r="503">
          <cell r="Q503">
            <v>432115031070</v>
          </cell>
          <cell r="R503" t="str">
            <v>HP J2C73PA PAVILION 15-P033TX</v>
          </cell>
        </row>
        <row r="504">
          <cell r="Q504">
            <v>432115031071</v>
          </cell>
          <cell r="R504" t="str">
            <v>HP J2C75PA HP PAVILION 15-P035TX</v>
          </cell>
        </row>
        <row r="505">
          <cell r="Q505">
            <v>432115031077</v>
          </cell>
          <cell r="R505" t="str">
            <v>HP J6N06PA PAVILION 10-F011AU</v>
          </cell>
        </row>
        <row r="506">
          <cell r="Q506">
            <v>432115031165</v>
          </cell>
          <cell r="R506" t="str">
            <v>HP G2F99PA PAV 11-N002TU X360 PQC 3540</v>
          </cell>
        </row>
        <row r="507">
          <cell r="Q507">
            <v>432115031166</v>
          </cell>
          <cell r="R507" t="str">
            <v>HP J6M41PA 14-R046TU NOTEBOOK PC C2840</v>
          </cell>
        </row>
        <row r="508">
          <cell r="Q508">
            <v>432115031167</v>
          </cell>
          <cell r="R508" t="str">
            <v>HP K8U83PA 14-G103AU</v>
          </cell>
        </row>
        <row r="509">
          <cell r="Q509">
            <v>432115031168</v>
          </cell>
          <cell r="R509" t="str">
            <v>HP L1L36PA 14-R226TU</v>
          </cell>
        </row>
        <row r="510">
          <cell r="Q510">
            <v>432115031170</v>
          </cell>
          <cell r="R510" t="str">
            <v>HP K2N59PA PAVILION X2 10-J011TU</v>
          </cell>
        </row>
        <row r="511">
          <cell r="Q511">
            <v>432115031171</v>
          </cell>
          <cell r="R511" t="str">
            <v>HP L1J89PA PAVILION 13-B214TU</v>
          </cell>
        </row>
        <row r="512">
          <cell r="Q512">
            <v>432115031173</v>
          </cell>
          <cell r="R512" t="str">
            <v>HP L1J83PA PAVILION 15-P248TX</v>
          </cell>
        </row>
        <row r="513">
          <cell r="Q513">
            <v>432115031174</v>
          </cell>
          <cell r="R513" t="str">
            <v>HP L1J82PA PAVILION 15-P247TX</v>
          </cell>
        </row>
        <row r="514">
          <cell r="Q514">
            <v>432115031176</v>
          </cell>
          <cell r="R514" t="str">
            <v>HP L1L82PA PAVILION 14-V243TX TOUCHSMART</v>
          </cell>
        </row>
        <row r="515">
          <cell r="Q515">
            <v>521615141090</v>
          </cell>
          <cell r="R515" t="str">
            <v>HP BUNDLE SENN MX 365 RED</v>
          </cell>
        </row>
        <row r="516">
          <cell r="Q516">
            <v>461715020003</v>
          </cell>
          <cell r="R516" t="str">
            <v>HP KENSINGTON LOCK</v>
          </cell>
        </row>
        <row r="517">
          <cell r="Q517">
            <v>432115031327</v>
          </cell>
          <cell r="R517" t="str">
            <v>HP P3U56PA 14-AC120TX</v>
          </cell>
        </row>
        <row r="518">
          <cell r="Q518">
            <v>432115031329</v>
          </cell>
          <cell r="R518" t="str">
            <v>HP P3U64PA PAVILION 14-AB107TU</v>
          </cell>
        </row>
        <row r="519">
          <cell r="Q519">
            <v>432115031330</v>
          </cell>
          <cell r="R519" t="str">
            <v>HP P3U68PA PAVILION 14-AB120TX</v>
          </cell>
        </row>
        <row r="520">
          <cell r="Q520">
            <v>432115031331</v>
          </cell>
          <cell r="R520" t="str">
            <v>HP P3U69PA PAVILION 14-AB121TX</v>
          </cell>
        </row>
        <row r="521">
          <cell r="Q521">
            <v>432115031332</v>
          </cell>
          <cell r="R521" t="str">
            <v>HP P3U70PA PAVILION 14-AB122TX</v>
          </cell>
        </row>
        <row r="522">
          <cell r="Q522">
            <v>432115031343</v>
          </cell>
          <cell r="R522" t="str">
            <v>HP P6M14PA PAVILION 14-AB132TU</v>
          </cell>
        </row>
        <row r="523">
          <cell r="Q523">
            <v>432115031409</v>
          </cell>
          <cell r="R523" t="str">
            <v>HP P7F44PA 14-AC131TX</v>
          </cell>
        </row>
        <row r="524">
          <cell r="Q524">
            <v>432115031410</v>
          </cell>
          <cell r="R524" t="str">
            <v>HP N8L97PA PAVILION 15-AB238TX</v>
          </cell>
        </row>
        <row r="525">
          <cell r="Q525">
            <v>432115031412</v>
          </cell>
          <cell r="R525" t="str">
            <v>HP P7G20PA PAVILION X2 10-N117TU</v>
          </cell>
        </row>
        <row r="526">
          <cell r="Q526">
            <v>432115031413</v>
          </cell>
          <cell r="R526" t="str">
            <v>HP P7G21PA PAVILION X2 10-N118TU</v>
          </cell>
        </row>
        <row r="527">
          <cell r="Q527">
            <v>432115031414</v>
          </cell>
          <cell r="R527" t="str">
            <v>HP T9F90PA 14-AF121AU</v>
          </cell>
        </row>
        <row r="528">
          <cell r="Q528">
            <v>432115031415</v>
          </cell>
          <cell r="R528" t="str">
            <v>HP T0Y60PA PAVILION 15-AB133AX</v>
          </cell>
        </row>
        <row r="529">
          <cell r="Q529">
            <v>432115031657</v>
          </cell>
          <cell r="R529" t="str">
            <v>HP X9K52PA 14-AM101TX I5-7200U PM LAPTOP</v>
          </cell>
        </row>
        <row r="530">
          <cell r="Q530">
            <v>432115031852</v>
          </cell>
          <cell r="R530" t="str">
            <v>HP 3FB23PA ENVY 13-AD151TU I5-8250U</v>
          </cell>
        </row>
        <row r="531">
          <cell r="Q531">
            <v>432115032164</v>
          </cell>
          <cell r="R531" t="str">
            <v>HP 5KG06PA 14-CM0093AU A4-9125</v>
          </cell>
        </row>
        <row r="532">
          <cell r="Q532">
            <v>432115032165</v>
          </cell>
          <cell r="R532" t="str">
            <v>HP 5LT74PA PAVILION 14-CE1024TX I5-8265U</v>
          </cell>
        </row>
        <row r="533">
          <cell r="Q533">
            <v>432115032166</v>
          </cell>
          <cell r="R533" t="str">
            <v>HP 5NK62PA 15-DA1036TX I5-8265U</v>
          </cell>
        </row>
        <row r="534">
          <cell r="Q534">
            <v>432115032171</v>
          </cell>
          <cell r="R534" t="str">
            <v>HP 5RG00PA 14-CK0024TX I3-7020U</v>
          </cell>
        </row>
        <row r="535">
          <cell r="Q535">
            <v>432115032172</v>
          </cell>
          <cell r="R535" t="str">
            <v>HP 5RG24PA ENVY X360 13-AG0039AU</v>
          </cell>
        </row>
        <row r="536">
          <cell r="Q536">
            <v>432115032174</v>
          </cell>
          <cell r="R536" t="str">
            <v>HP 5RL62PA 14-CM0105AU RYZEN 5</v>
          </cell>
        </row>
        <row r="537">
          <cell r="Q537">
            <v>432115032179</v>
          </cell>
          <cell r="R537" t="str">
            <v>HP 5SB98PA PAVILION 15-CS1084TX I7-8565U</v>
          </cell>
        </row>
        <row r="538">
          <cell r="Q538">
            <v>432115032159</v>
          </cell>
          <cell r="R538" t="str">
            <v>HP 5HW04PA PAVILION X360 14-CD1021TU</v>
          </cell>
        </row>
        <row r="539">
          <cell r="Q539">
            <v>432115032161</v>
          </cell>
          <cell r="R539" t="str">
            <v>HP 5HZ07PA ENVY 13-AH1025TX I5-8265U</v>
          </cell>
        </row>
        <row r="540">
          <cell r="Q540">
            <v>432115032162</v>
          </cell>
          <cell r="R540" t="str">
            <v>HP 5HZ10PA ENVY 13-AH1026TX I7-8565U</v>
          </cell>
        </row>
        <row r="541">
          <cell r="Q541">
            <v>432115032167</v>
          </cell>
          <cell r="R541" t="str">
            <v>HP 5QJ44PA 14-CK1012TX I5-8265U</v>
          </cell>
        </row>
        <row r="542">
          <cell r="Q542">
            <v>432115032175</v>
          </cell>
          <cell r="R542" t="str">
            <v>HP 5RL68PA 14-CM0104AU RYZEN 3</v>
          </cell>
        </row>
        <row r="543">
          <cell r="Q543">
            <v>432115032176</v>
          </cell>
          <cell r="R543" t="str">
            <v>HP 5RL78PA PAVILION X360 14-CD1057TX</v>
          </cell>
        </row>
        <row r="544">
          <cell r="Q544">
            <v>432115032177</v>
          </cell>
          <cell r="R544" t="str">
            <v>HP 5SB90PA 14-CM0106AU A6-9225</v>
          </cell>
        </row>
        <row r="545">
          <cell r="Q545">
            <v>432115034208</v>
          </cell>
          <cell r="R545" t="str">
            <v>HP-NB 65M48PA VICTUS 16-E0242AX</v>
          </cell>
        </row>
        <row r="546">
          <cell r="Q546">
            <v>432115031908</v>
          </cell>
          <cell r="R546" t="str">
            <v>HP 3DJ69PA PAVILION POWER 15-CK048TX</v>
          </cell>
        </row>
        <row r="547">
          <cell r="Q547">
            <v>432115031909</v>
          </cell>
          <cell r="R547" t="str">
            <v>HP 3GH22PA ENVY 13-AD160TX I5-8250U</v>
          </cell>
        </row>
        <row r="548">
          <cell r="Q548">
            <v>432115031932</v>
          </cell>
          <cell r="R548" t="str">
            <v>HP 4BP25PA 14-BS113TU I5-8250U</v>
          </cell>
        </row>
        <row r="549">
          <cell r="Q549">
            <v>432115032139</v>
          </cell>
          <cell r="R549" t="str">
            <v>HP 5RF76PA 14-CK0127TU N4000</v>
          </cell>
        </row>
        <row r="550">
          <cell r="Q550">
            <v>432115032140</v>
          </cell>
          <cell r="R550" t="str">
            <v>HP 5RF78PA 15-DA0348TU N5000</v>
          </cell>
        </row>
        <row r="551">
          <cell r="Q551">
            <v>432115032141</v>
          </cell>
          <cell r="R551" t="str">
            <v>HP 5RF87PA 14-CK0130TU N5000</v>
          </cell>
        </row>
        <row r="552">
          <cell r="Q552">
            <v>432115032142</v>
          </cell>
          <cell r="R552" t="str">
            <v>HP 5RF88PA 15-DA0347TU N4000</v>
          </cell>
        </row>
        <row r="553">
          <cell r="Q553">
            <v>432115032432</v>
          </cell>
          <cell r="R553" t="str">
            <v>HP 5RL68PA 14-CM0104AU RYZEN 3 8GB RAM</v>
          </cell>
        </row>
        <row r="554">
          <cell r="Q554">
            <v>432115032433</v>
          </cell>
          <cell r="R554" t="str">
            <v>HP 5RL61PA 14-CM0015AX RYZEN 3 8GB RAM</v>
          </cell>
        </row>
        <row r="555">
          <cell r="Q555">
            <v>432115032451</v>
          </cell>
          <cell r="R555" t="str">
            <v>HP 6YU22PA ENVY X360 13-AR0066AU</v>
          </cell>
        </row>
        <row r="556">
          <cell r="Q556">
            <v>432115033145</v>
          </cell>
          <cell r="R556" t="str">
            <v>HP-NB KHX-HSCCHX-BK/WW CLOUDCHAT XBOXFOC</v>
          </cell>
        </row>
        <row r="557">
          <cell r="Q557">
            <v>432115033146</v>
          </cell>
          <cell r="R557" t="str">
            <v>HP-NB KHX-HSCCHS-BK/AS CLOUDCHAT PS FOC</v>
          </cell>
        </row>
        <row r="558">
          <cell r="Q558">
            <v>432115033363</v>
          </cell>
          <cell r="R558" t="str">
            <v>HP-NB 2Y7T4PA PAV GAMING 15-DK1139TX</v>
          </cell>
        </row>
        <row r="559">
          <cell r="Q559">
            <v>432115033364</v>
          </cell>
          <cell r="R559" t="str">
            <v>HP-NB 2Y7U0PA OMEN 15-EK0112TX I5-10300H</v>
          </cell>
        </row>
        <row r="560">
          <cell r="Q560">
            <v>432115033598</v>
          </cell>
          <cell r="R560" t="str">
            <v>HP-NB 46R34PA HP PAVILION 15-EG0512TX</v>
          </cell>
        </row>
        <row r="561">
          <cell r="Q561">
            <v>432014020044</v>
          </cell>
          <cell r="R561" t="str">
            <v>HP TRANSCEND 1GB PC800</v>
          </cell>
        </row>
        <row r="562">
          <cell r="Q562">
            <v>432014020052</v>
          </cell>
          <cell r="R562" t="str">
            <v>HP TRANSCEND TS128MSQ64V8W 1GB</v>
          </cell>
        </row>
        <row r="563">
          <cell r="Q563">
            <v>432014090021</v>
          </cell>
          <cell r="R563" t="str">
            <v>HP BUNDLE GLOBE TATTOO FOR HP MINI NETB</v>
          </cell>
        </row>
        <row r="564">
          <cell r="Q564">
            <v>432115030426</v>
          </cell>
          <cell r="R564" t="str">
            <v>HP QG380PA PAVILION G4-1204AX NB PC</v>
          </cell>
        </row>
        <row r="565">
          <cell r="Q565">
            <v>432115030427</v>
          </cell>
          <cell r="R565" t="str">
            <v>HP QG489PA COMPAQ PRE CQ43-303AU NB PC</v>
          </cell>
        </row>
        <row r="566">
          <cell r="Q566">
            <v>432115030318</v>
          </cell>
          <cell r="R566" t="str">
            <v>HP LJ802PA PROBOOK 4230S I3 12 2GB/500PC</v>
          </cell>
        </row>
        <row r="567">
          <cell r="Q567">
            <v>432115030319</v>
          </cell>
          <cell r="R567" t="str">
            <v>HP LV435PA 430 I3 14 02GB/500 PWT PC</v>
          </cell>
        </row>
        <row r="568">
          <cell r="Q568">
            <v>432115030285</v>
          </cell>
          <cell r="R568" t="str">
            <v>HP LV803PA PAVILION DM1-3205AU NB PC</v>
          </cell>
        </row>
        <row r="569">
          <cell r="Q569">
            <v>432115030423</v>
          </cell>
          <cell r="R569" t="str">
            <v>HP QG411PA PAVILION DM1-4000AU GRAY</v>
          </cell>
        </row>
        <row r="570">
          <cell r="Q570">
            <v>432115030424</v>
          </cell>
          <cell r="R570" t="str">
            <v>HP QG494PA COMPAQ PRE CQ43-301TU NB PC</v>
          </cell>
        </row>
        <row r="571">
          <cell r="Q571">
            <v>432115030373</v>
          </cell>
          <cell r="R571" t="str">
            <v>HP QG490PA COMPAQ PRE CQ43-304AU NB PC</v>
          </cell>
        </row>
        <row r="572">
          <cell r="Q572">
            <v>432115030374</v>
          </cell>
          <cell r="R572" t="str">
            <v>HP QG508PA PAVILION G4-1202AX NB PC</v>
          </cell>
        </row>
        <row r="573">
          <cell r="Q573">
            <v>521615140358</v>
          </cell>
          <cell r="R573" t="str">
            <v>HP LR594PA PROMO BEATS SOLO HEADSET BK</v>
          </cell>
        </row>
        <row r="574">
          <cell r="Q574">
            <v>432115030360</v>
          </cell>
          <cell r="R574" t="str">
            <v>HP LV449PA 430 I5 14 02GB/500 PWT PC</v>
          </cell>
        </row>
        <row r="575">
          <cell r="Q575">
            <v>541115010022</v>
          </cell>
          <cell r="R575" t="str">
            <v>HP BUNDLE ESPRIT F-WATCH PK</v>
          </cell>
        </row>
        <row r="576">
          <cell r="Q576">
            <v>541115010023</v>
          </cell>
          <cell r="R576" t="str">
            <v>HP BUNDLE ESPRIT M-WATCH BU</v>
          </cell>
        </row>
        <row r="577">
          <cell r="Q577">
            <v>432018150107</v>
          </cell>
          <cell r="R577" t="str">
            <v>HP IMATION SLIM EXTERNAL DVD REC</v>
          </cell>
        </row>
        <row r="578">
          <cell r="Q578">
            <v>432018150110</v>
          </cell>
          <cell r="R578" t="str">
            <v>HP LITE-ON SLIM EXTERNAL DVD</v>
          </cell>
        </row>
        <row r="579">
          <cell r="Q579">
            <v>432018150111</v>
          </cell>
          <cell r="R579" t="str">
            <v>HP BUFFALO DVSMPC58U2VB EXT DVD WRITER</v>
          </cell>
        </row>
        <row r="580">
          <cell r="Q580">
            <v>811118180027</v>
          </cell>
          <cell r="R580" t="str">
            <v>HP U4817E 3YRS RETURN SERVICE C/PAV NB</v>
          </cell>
        </row>
        <row r="581">
          <cell r="Q581">
            <v>811118180028</v>
          </cell>
          <cell r="R581" t="str">
            <v>HP U0J06E 3YRS RETURN SERVICE ENVY TAB</v>
          </cell>
        </row>
        <row r="582">
          <cell r="Q582">
            <v>431916100548</v>
          </cell>
          <cell r="R582" t="str">
            <v>HP D2A23AA ELITEPAD EXP JACKET W/ BATT</v>
          </cell>
        </row>
        <row r="583">
          <cell r="Q583">
            <v>432117060321</v>
          </cell>
          <cell r="R583" t="str">
            <v>HP H4Q44AA SLIM BT KEYBOARD</v>
          </cell>
        </row>
        <row r="584">
          <cell r="Q584">
            <v>431915011202</v>
          </cell>
          <cell r="R584" t="str">
            <v>HP BUNDLE O+ 8.2 ANDROID BLACK/ORANGE</v>
          </cell>
        </row>
        <row r="585">
          <cell r="Q585">
            <v>531217060054</v>
          </cell>
          <cell r="R585" t="str">
            <v>HP BUNDLE H4X02 BACKPACK RED</v>
          </cell>
        </row>
        <row r="586">
          <cell r="Q586">
            <v>811118180046</v>
          </cell>
          <cell r="R586" t="str">
            <v>HP UN012E CAREPACK EXTENDED WARRANTY 3YR</v>
          </cell>
        </row>
        <row r="587">
          <cell r="Q587">
            <v>811118180045</v>
          </cell>
          <cell r="R587" t="str">
            <v>HP U4819E CAREPACK EXTENDED WARRANTY 3YR</v>
          </cell>
        </row>
        <row r="588">
          <cell r="Q588">
            <v>531217060184</v>
          </cell>
          <cell r="R588" t="str">
            <v>HP ROXY BAG FOC</v>
          </cell>
        </row>
        <row r="589">
          <cell r="Q589">
            <v>531217060181</v>
          </cell>
          <cell r="R589" t="str">
            <v>HP IPS BAG FOC</v>
          </cell>
        </row>
        <row r="590">
          <cell r="Q590">
            <v>531217060182</v>
          </cell>
          <cell r="R590" t="str">
            <v>HP ODYSSEY BAG FOC</v>
          </cell>
        </row>
        <row r="591">
          <cell r="Q591">
            <v>531217060183</v>
          </cell>
          <cell r="R591" t="str">
            <v>HP QUICKSILVER BAG FOC</v>
          </cell>
        </row>
        <row r="592">
          <cell r="Q592">
            <v>432014020809</v>
          </cell>
          <cell r="R592" t="str">
            <v>HP BUNDLE AP A4S04G26CRIBH05-1 4GSDIMMD4</v>
          </cell>
        </row>
        <row r="593">
          <cell r="Q593">
            <v>432014020810</v>
          </cell>
          <cell r="R593" t="str">
            <v>HP BUNDLE AP ES04G2VLNH 4G2666MHZSDIMMD4</v>
          </cell>
        </row>
        <row r="594">
          <cell r="Q594">
            <v>432014020811</v>
          </cell>
          <cell r="R594" t="str">
            <v>HP BUNDLE KVR24S17S6/4 4GB2400MHZSDIMMD4</v>
          </cell>
        </row>
        <row r="595">
          <cell r="Q595">
            <v>521615141768</v>
          </cell>
          <cell r="R595" t="str">
            <v>HP BUNDLE JBL T450 BLACK</v>
          </cell>
        </row>
        <row r="596">
          <cell r="Q596">
            <v>432118020188</v>
          </cell>
          <cell r="R596" t="str">
            <v>HP BUNDLE MPFS-XL HYPERXFURY MOUSEPAD XL</v>
          </cell>
        </row>
        <row r="597">
          <cell r="Q597">
            <v>521615141767</v>
          </cell>
          <cell r="R597" t="str">
            <v>HP BUNDLE HSCR-GM HYPERXCLOUD REVOLVERBK</v>
          </cell>
        </row>
        <row r="598">
          <cell r="Q598">
            <v>432014020847</v>
          </cell>
          <cell r="R598" t="str">
            <v>HP BUNDLE KVR26S19S6/4 4GB 2666MHZ SDM</v>
          </cell>
        </row>
        <row r="599">
          <cell r="Q599">
            <v>432115033748</v>
          </cell>
          <cell r="R599" t="str">
            <v>HP-NB MS 79G-05066 O2019 HS 2019MDLS FOC</v>
          </cell>
        </row>
        <row r="600">
          <cell r="Q600">
            <v>521615141818</v>
          </cell>
          <cell r="R600" t="str">
            <v>HP-NB HX-HSCS-BK/AS HYPER XCLDSTINGERFOC</v>
          </cell>
        </row>
        <row r="601">
          <cell r="Q601">
            <v>432117080563</v>
          </cell>
          <cell r="R601" t="str">
            <v>HP BUNDLE MC004B MOUSE PULSEFIRE CORE</v>
          </cell>
        </row>
        <row r="602">
          <cell r="Q602">
            <v>241115010003</v>
          </cell>
          <cell r="R602" t="str">
            <v>HP-NB KINGSTON TOTE BAG FOC</v>
          </cell>
        </row>
        <row r="603">
          <cell r="Q603">
            <v>432115031527</v>
          </cell>
          <cell r="R603" t="str">
            <v>HP X9K37PA 15-AU106TX I7-7500U</v>
          </cell>
        </row>
        <row r="604">
          <cell r="Q604">
            <v>141116080027</v>
          </cell>
          <cell r="R604" t="str">
            <v>HP BUNDLE CALTEX GAS CARD WORTH P500</v>
          </cell>
        </row>
        <row r="605">
          <cell r="Q605">
            <v>141116080006</v>
          </cell>
          <cell r="R605" t="str">
            <v>HP BUNDLE GREEN GC</v>
          </cell>
        </row>
        <row r="606">
          <cell r="Q606">
            <v>141116080005</v>
          </cell>
          <cell r="R606" t="str">
            <v>HP BUNDLE GOLD GC</v>
          </cell>
        </row>
        <row r="607">
          <cell r="Q607">
            <v>261117100435</v>
          </cell>
          <cell r="R607" t="str">
            <v>HP 728460-001 REPLACEMENT BATTERY</v>
          </cell>
        </row>
        <row r="608">
          <cell r="Q608">
            <v>432115035287</v>
          </cell>
          <cell r="R608" t="str">
            <v>HP-NB 782K5PA 245 G9</v>
          </cell>
        </row>
        <row r="609">
          <cell r="Q609">
            <v>432115035288</v>
          </cell>
          <cell r="R609" t="str">
            <v>HP-NB 7J087AA 255 G8</v>
          </cell>
        </row>
        <row r="610">
          <cell r="O610" t="str">
            <v>EXCESS RAM</v>
          </cell>
          <cell r="Q610">
            <v>432014021484</v>
          </cell>
          <cell r="R610" t="str">
            <v>HP-NB M425R1GB4PB0-CWMOL  8GB D4 5600FOC</v>
          </cell>
        </row>
        <row r="611">
          <cell r="N611" t="str">
            <v>75Q57PA</v>
          </cell>
          <cell r="Q611">
            <v>432115034704</v>
          </cell>
          <cell r="R611" t="str">
            <v>HP-NB 75Q57PA 14S-DQ2628TU</v>
          </cell>
        </row>
        <row r="612">
          <cell r="N612" t="str">
            <v>D07CFPA</v>
          </cell>
          <cell r="Q612">
            <v>432115036563</v>
          </cell>
          <cell r="R612" t="str">
            <v>HP-NB D07CFPA OMNI5 NGAI 16-AG1106AU</v>
          </cell>
        </row>
        <row r="613">
          <cell r="N613" t="str">
            <v>77Z46AA</v>
          </cell>
          <cell r="O613" t="str">
            <v>OMEN HYPERX</v>
          </cell>
          <cell r="Q613">
            <v>521615143512</v>
          </cell>
          <cell r="R613" t="str">
            <v>HP-NB HP 77Z46AA HX CLOUD III BK/RED WL</v>
          </cell>
        </row>
        <row r="614">
          <cell r="N614" t="str">
            <v>DU5T7PA</v>
          </cell>
          <cell r="Q614">
            <v>432115036921</v>
          </cell>
          <cell r="R614" t="str">
            <v>HP-NB DU5T7PA OBKX FLIP NGAI 14-KC0082AU</v>
          </cell>
        </row>
        <row r="615">
          <cell r="N615" t="str">
            <v>DU5T8PA</v>
          </cell>
          <cell r="Q615">
            <v>432115036920</v>
          </cell>
          <cell r="R615" t="str">
            <v>HP-NB DU5T8PA OBKX FLIP NGAI 14-KC0085AU</v>
          </cell>
        </row>
        <row r="616">
          <cell r="N616" t="str">
            <v>DU5T5PA</v>
          </cell>
          <cell r="Q616">
            <v>432115036918</v>
          </cell>
          <cell r="R616" t="str">
            <v>HP-NB DU5T5PA OBKX FLIP NGAI 14-KC0080AU</v>
          </cell>
        </row>
        <row r="617">
          <cell r="N617" t="str">
            <v>DU5U2PA</v>
          </cell>
          <cell r="Q617">
            <v>432115036913</v>
          </cell>
          <cell r="R617" t="str">
            <v>HP-NB DU5U2PA OBK5 FLIP NGAI 14-KM0061TU</v>
          </cell>
        </row>
        <row r="618">
          <cell r="N618" t="str">
            <v>DU5U1PA</v>
          </cell>
          <cell r="Q618">
            <v>432115036912</v>
          </cell>
          <cell r="R618" t="str">
            <v>HP-NB DU5U1PA OBK5 FLIP NGAI 14-KM0060TU</v>
          </cell>
        </row>
        <row r="619">
          <cell r="N619" t="str">
            <v>DU5U4PA</v>
          </cell>
          <cell r="Q619">
            <v>432115036911</v>
          </cell>
          <cell r="R619" t="str">
            <v>HP-NB DU5U4PA OBK5 FLIP NGAI 14-KM0017TU</v>
          </cell>
        </row>
        <row r="620">
          <cell r="N620" t="str">
            <v>DU5U5PA</v>
          </cell>
          <cell r="Q620">
            <v>432115036910</v>
          </cell>
          <cell r="R620" t="str">
            <v>HP-NB DU5U5PA OBK5 FLIP NGAI 14-KM0016TU</v>
          </cell>
        </row>
        <row r="621">
          <cell r="N621" t="str">
            <v>DW8J6PA</v>
          </cell>
          <cell r="Q621">
            <v>432115036909</v>
          </cell>
          <cell r="R621" t="str">
            <v>HP-NB DW8J6PA OMNIBOOK5 FLIP 14-FP0166TU</v>
          </cell>
        </row>
        <row r="622">
          <cell r="N622" t="str">
            <v>DU5R9PA</v>
          </cell>
          <cell r="Q622">
            <v>432115036908</v>
          </cell>
          <cell r="R622" t="str">
            <v>HP-NB DU5R9PA OMNIBOOK5 FLIP 14-FP0165TU</v>
          </cell>
        </row>
        <row r="623">
          <cell r="N623" t="str">
            <v>DJ8U3PA</v>
          </cell>
          <cell r="Q623">
            <v>432115036906</v>
          </cell>
          <cell r="R623" t="str">
            <v>HP-NB DJ8U3PA OMNIBOOK 5 16-BP0046AU SV</v>
          </cell>
        </row>
        <row r="624">
          <cell r="N624" t="str">
            <v>DJ8U6PA</v>
          </cell>
          <cell r="Q624">
            <v>432115036905</v>
          </cell>
          <cell r="R624" t="str">
            <v>HP-NB DJ8U6PA OMNIBOOK 5 16-CN0011TU BU</v>
          </cell>
        </row>
        <row r="625">
          <cell r="N625" t="str">
            <v>E08ZKPA</v>
          </cell>
          <cell r="Q625">
            <v>432115036902</v>
          </cell>
          <cell r="R625" t="str">
            <v>HP-NB E08ZKPA OMNIBOOK 3 16-BU0335TU BU</v>
          </cell>
        </row>
        <row r="626">
          <cell r="N626" t="str">
            <v>E08ZLPA</v>
          </cell>
          <cell r="Q626">
            <v>432115036901</v>
          </cell>
          <cell r="R626" t="str">
            <v>HP-NB E08ZLPA OMNIBOOK 3 16-BU0334TU SV</v>
          </cell>
        </row>
        <row r="627">
          <cell r="N627" t="str">
            <v>DM8L4PA</v>
          </cell>
          <cell r="Q627">
            <v>432115036896</v>
          </cell>
          <cell r="R627" t="str">
            <v>HP-NB DM8L4PA 15-FC0874AU SILVER</v>
          </cell>
        </row>
        <row r="628">
          <cell r="N628" t="str">
            <v>D93DTPA</v>
          </cell>
          <cell r="Q628">
            <v>432115036765</v>
          </cell>
          <cell r="R628" t="str">
            <v>HP-NB D93DTPA HP OBX FLIP 14-FM0183TU U5</v>
          </cell>
        </row>
        <row r="629">
          <cell r="N629" t="str">
            <v>D8ZK3PA</v>
          </cell>
          <cell r="Q629">
            <v>432115036764</v>
          </cell>
          <cell r="R629" t="str">
            <v>HP-NB D8ZK3PA HP OBX FLIP 14-FM0173TU U5</v>
          </cell>
        </row>
        <row r="630">
          <cell r="N630" t="str">
            <v>D93DSPA</v>
          </cell>
          <cell r="Q630">
            <v>432115036761</v>
          </cell>
          <cell r="R630" t="str">
            <v>HP-NB D93DSPA HP OBX FLIP 14-FM0182TU U5</v>
          </cell>
        </row>
        <row r="631">
          <cell r="N631" t="str">
            <v>D8ZK4PA</v>
          </cell>
          <cell r="Q631">
            <v>432115036760</v>
          </cell>
          <cell r="R631" t="str">
            <v>HP-NB D8ZK4PA HP OBX FLIP 14-FM0174TU U5</v>
          </cell>
        </row>
        <row r="632">
          <cell r="N632" t="str">
            <v>D40T4PA</v>
          </cell>
          <cell r="Q632">
            <v>432115036609</v>
          </cell>
          <cell r="R632" t="str">
            <v>HP-NB D40T4PA AI 15-FD2111TU</v>
          </cell>
        </row>
        <row r="633">
          <cell r="N633" t="str">
            <v>D07C8PA</v>
          </cell>
          <cell r="Q633">
            <v>432115036568</v>
          </cell>
          <cell r="R633" t="str">
            <v>HP-NB D07C8PA VICTUS 15-FB3224AX</v>
          </cell>
        </row>
        <row r="634">
          <cell r="N634" t="str">
            <v>D07C4PA</v>
          </cell>
          <cell r="Q634">
            <v>432115036566</v>
          </cell>
          <cell r="R634" t="str">
            <v>HP-NB D07C4PA OMNI X FLIP AI 14-FM0124TU</v>
          </cell>
        </row>
        <row r="635">
          <cell r="N635" t="str">
            <v>D07C1PA</v>
          </cell>
          <cell r="Q635">
            <v>432115036560</v>
          </cell>
          <cell r="R635" t="str">
            <v>HP-NB D07C1PA 14-EP1194TU</v>
          </cell>
        </row>
        <row r="636">
          <cell r="N636" t="str">
            <v>D07CBPA</v>
          </cell>
          <cell r="Q636">
            <v>432115036559</v>
          </cell>
          <cell r="R636" t="str">
            <v>HP-NB D07CBPA 15-FC0757AU</v>
          </cell>
        </row>
        <row r="637">
          <cell r="N637" t="str">
            <v>D07CDPA</v>
          </cell>
          <cell r="Q637">
            <v>432115036558</v>
          </cell>
          <cell r="R637" t="str">
            <v>HP-NB D07CDPA 15-FC0759AU</v>
          </cell>
        </row>
        <row r="638">
          <cell r="N638" t="str">
            <v>D07C0PA</v>
          </cell>
          <cell r="Q638">
            <v>432115036557</v>
          </cell>
          <cell r="R638" t="str">
            <v>HP-NB D07C0PA 14-EP0445TU</v>
          </cell>
        </row>
        <row r="639">
          <cell r="N639" t="str">
            <v>C8BN9PA</v>
          </cell>
          <cell r="Q639">
            <v>432115036467</v>
          </cell>
          <cell r="R639" t="str">
            <v>HP-NB C8BN9PA VICTUS 15-FA2349TX I7</v>
          </cell>
        </row>
        <row r="640">
          <cell r="N640" t="str">
            <v>C5AX9PA</v>
          </cell>
          <cell r="Q640">
            <v>432115036465</v>
          </cell>
          <cell r="R640" t="str">
            <v>HP-NB C5AX9PA 15-FD0451TU GEOX</v>
          </cell>
        </row>
        <row r="641">
          <cell r="N641" t="str">
            <v>C5AX4PA</v>
          </cell>
          <cell r="Q641">
            <v>432115036462</v>
          </cell>
          <cell r="R641" t="str">
            <v>HP-NB C5AX4PA 14-EP0332TU GEOX</v>
          </cell>
        </row>
        <row r="642">
          <cell r="N642" t="str">
            <v>BA2P9PA</v>
          </cell>
          <cell r="Q642">
            <v>432115036341</v>
          </cell>
          <cell r="R642" t="str">
            <v>DNU HP-NB BA2P9PA OMEN MAX 16-AH0599TX</v>
          </cell>
        </row>
        <row r="643">
          <cell r="N643" t="str">
            <v>BK6K7PA</v>
          </cell>
          <cell r="Q643">
            <v>432115036336</v>
          </cell>
          <cell r="R643" t="str">
            <v>HP-NB BK6K7PA OMEN 16-AP0054AX</v>
          </cell>
        </row>
        <row r="644">
          <cell r="N644" t="str">
            <v>BL2H6PA</v>
          </cell>
          <cell r="Q644">
            <v>432115036333</v>
          </cell>
          <cell r="R644" t="str">
            <v>HP-NB BL2H6PA OMEN 16-AM0099TX</v>
          </cell>
        </row>
        <row r="645">
          <cell r="N645" t="str">
            <v>BP4S2PA</v>
          </cell>
          <cell r="Q645">
            <v>432115036332</v>
          </cell>
          <cell r="R645" t="str">
            <v>HP-NB BP4S2PA OMEN 16-AM0098TX</v>
          </cell>
        </row>
        <row r="646">
          <cell r="N646" t="str">
            <v>BX8X8PA</v>
          </cell>
          <cell r="Q646">
            <v>432115036330</v>
          </cell>
          <cell r="R646" t="str">
            <v>HP-NB BX8X8PA VICTUS 15-FB3133AX</v>
          </cell>
        </row>
        <row r="647">
          <cell r="N647" t="str">
            <v>BJ0K4PA</v>
          </cell>
          <cell r="Q647">
            <v>432115036325</v>
          </cell>
          <cell r="R647" t="str">
            <v>HP-NB BJ0K4PA ENVY X360 14-FA0078AU</v>
          </cell>
        </row>
        <row r="648">
          <cell r="N648" t="str">
            <v>BJ0K3PA</v>
          </cell>
          <cell r="Q648">
            <v>432115036324</v>
          </cell>
          <cell r="R648" t="str">
            <v>HP-NB BJ0K3PA ENVY X360 14-FA0075AU</v>
          </cell>
        </row>
        <row r="649">
          <cell r="N649" t="str">
            <v>BX9E6PA</v>
          </cell>
          <cell r="Q649">
            <v>432115036320</v>
          </cell>
          <cell r="R649" t="str">
            <v>HP-NB BX9E6PA OMNIBOOK 5 16-BC1015AU</v>
          </cell>
        </row>
        <row r="650">
          <cell r="N650" t="str">
            <v>BX8U6PA</v>
          </cell>
          <cell r="Q650">
            <v>432115036317</v>
          </cell>
          <cell r="R650" t="str">
            <v>HP-NB BX8U6PA 15-FD0622TU</v>
          </cell>
        </row>
        <row r="651">
          <cell r="N651" t="str">
            <v>BX8U7PA</v>
          </cell>
          <cell r="Q651">
            <v>432115036316</v>
          </cell>
          <cell r="R651" t="str">
            <v>HP-NB BX8U7PA 15-FR0037TU</v>
          </cell>
        </row>
        <row r="652">
          <cell r="N652" t="str">
            <v>C00YWPA</v>
          </cell>
          <cell r="Q652">
            <v>432115036314</v>
          </cell>
          <cell r="R652" t="str">
            <v>HP-NB C00YWPA OMNIBOOK5 FLIP 14-FP0093TU</v>
          </cell>
        </row>
        <row r="653">
          <cell r="N653" t="str">
            <v>C00YZPA</v>
          </cell>
          <cell r="Q653">
            <v>432115036313</v>
          </cell>
          <cell r="R653" t="str">
            <v>HP-NB C00YZPA OMNIBOOK5 FLIP 14-FP0092TU</v>
          </cell>
        </row>
        <row r="654">
          <cell r="N654" t="str">
            <v>BJ0L0PA</v>
          </cell>
          <cell r="O654" t="str">
            <v>MOONLIGHT BLUE</v>
          </cell>
          <cell r="Q654">
            <v>432115036311</v>
          </cell>
          <cell r="R654" t="str">
            <v>HP-NB BJ0L0PA  15-FD0587TU I7</v>
          </cell>
        </row>
        <row r="655">
          <cell r="N655" t="str">
            <v>BJ0K2PA</v>
          </cell>
          <cell r="O655" t="str">
            <v>NATURAL SILVER</v>
          </cell>
          <cell r="Q655">
            <v>432115036310</v>
          </cell>
          <cell r="R655" t="str">
            <v>HP-NB BJ0K2PA  14-EP0347TU I7</v>
          </cell>
        </row>
        <row r="656">
          <cell r="N656" t="str">
            <v>BJ0K8PA</v>
          </cell>
          <cell r="O656" t="str">
            <v>WARM GOLD</v>
          </cell>
          <cell r="Q656">
            <v>432115036309</v>
          </cell>
          <cell r="R656" t="str">
            <v>HP-NB BJ0K8PA  15-FC0451AU R3</v>
          </cell>
        </row>
        <row r="657">
          <cell r="N657" t="str">
            <v>BA2F0PA</v>
          </cell>
          <cell r="O657" t="str">
            <v>MICA SILVER</v>
          </cell>
          <cell r="Q657">
            <v>432115036143</v>
          </cell>
          <cell r="R657" t="str">
            <v>HP-NB BA2F0PA VICTUS 15-FB3722AX UPSON</v>
          </cell>
        </row>
        <row r="658">
          <cell r="N658" t="str">
            <v>BD0Z8PA</v>
          </cell>
          <cell r="O658" t="str">
            <v>MICA SILVER</v>
          </cell>
          <cell r="Q658">
            <v>432115036142</v>
          </cell>
          <cell r="R658" t="str">
            <v>HP-NB BD0Z8PA VICTUS 15-FB3724AX ION</v>
          </cell>
        </row>
        <row r="659">
          <cell r="N659" t="str">
            <v>BA4C5PA</v>
          </cell>
          <cell r="O659" t="str">
            <v>MICA SILVER</v>
          </cell>
          <cell r="Q659">
            <v>432115036141</v>
          </cell>
          <cell r="R659" t="str">
            <v>HP-NB BA4C5PA VICTUS 15-FB3723AX SLEF</v>
          </cell>
        </row>
        <row r="660">
          <cell r="N660" t="str">
            <v>B49YCPA</v>
          </cell>
          <cell r="Q660">
            <v>432115035991</v>
          </cell>
          <cell r="R660" t="str">
            <v>HP-NB B49YCPA 14-EP0247TU I5</v>
          </cell>
        </row>
        <row r="661">
          <cell r="N661" t="str">
            <v>B49WCPA</v>
          </cell>
          <cell r="Q661">
            <v>432115035990</v>
          </cell>
          <cell r="R661" t="str">
            <v>HP-NB B49WCPA PAVILION 16-AG0035AU R7</v>
          </cell>
        </row>
        <row r="662">
          <cell r="N662" t="str">
            <v>B49W9PA</v>
          </cell>
          <cell r="Q662">
            <v>432115035988</v>
          </cell>
          <cell r="R662" t="str">
            <v>HP-NB B49W9PA PAVILION 16-AF0064TU U7</v>
          </cell>
        </row>
        <row r="663">
          <cell r="N663" t="str">
            <v>B49W7PA</v>
          </cell>
          <cell r="Q663">
            <v>432115035986</v>
          </cell>
          <cell r="R663" t="str">
            <v>HP-NB B49W7PA 15-FD0415TU I7</v>
          </cell>
        </row>
        <row r="664">
          <cell r="N664" t="str">
            <v>B49W1PA</v>
          </cell>
          <cell r="Q664">
            <v>432115035982</v>
          </cell>
          <cell r="R664" t="str">
            <v>HP-NB B49W1PA 15-FC0336AU R5</v>
          </cell>
        </row>
        <row r="665">
          <cell r="N665" t="str">
            <v>B49VXPA</v>
          </cell>
          <cell r="Q665">
            <v>432115035981</v>
          </cell>
          <cell r="R665" t="str">
            <v>HP-NB B49VXPA ENVY X360 14-FA0116AU R7</v>
          </cell>
        </row>
        <row r="666">
          <cell r="N666" t="str">
            <v>B49VWPA</v>
          </cell>
          <cell r="Q666">
            <v>432115035980</v>
          </cell>
          <cell r="R666" t="str">
            <v>HP-NB B49VWPA ENVY X360 14-FA0115AU R7</v>
          </cell>
        </row>
        <row r="667">
          <cell r="N667" t="str">
            <v>B49VVPA</v>
          </cell>
          <cell r="Q667">
            <v>432115035979</v>
          </cell>
          <cell r="R667" t="str">
            <v>HP-NB B49VVPA ENVY X360 14-FA0114AU R5</v>
          </cell>
        </row>
        <row r="668">
          <cell r="N668" t="str">
            <v>B49VTPA</v>
          </cell>
          <cell r="Q668">
            <v>432115035978</v>
          </cell>
          <cell r="R668" t="str">
            <v>HP-NB B49VTPA 14-EP0251TU N200</v>
          </cell>
        </row>
        <row r="669">
          <cell r="N669" t="str">
            <v>B49VSPA</v>
          </cell>
          <cell r="Q669">
            <v>432115035977</v>
          </cell>
          <cell r="R669" t="str">
            <v>HP-NB B49VSPA 14-EP0250TU N100</v>
          </cell>
        </row>
        <row r="670">
          <cell r="N670" t="str">
            <v>B49VRPA</v>
          </cell>
          <cell r="Q670">
            <v>432115035976</v>
          </cell>
          <cell r="R670" t="str">
            <v>HP-NB B49VRPA 14-EP0248TU I7</v>
          </cell>
        </row>
        <row r="671">
          <cell r="N671" t="str">
            <v>B49VPPA</v>
          </cell>
          <cell r="Q671">
            <v>432115035975</v>
          </cell>
          <cell r="R671" t="str">
            <v>HP-NB B49VPPA PAV X360 14-EK2085TU C7</v>
          </cell>
        </row>
        <row r="672">
          <cell r="N672" t="str">
            <v>B49VNPA</v>
          </cell>
          <cell r="Q672">
            <v>432115035974</v>
          </cell>
          <cell r="R672" t="str">
            <v>HP-NB B49VNPA PAV X360 14-EK2084TU C5</v>
          </cell>
        </row>
        <row r="673">
          <cell r="N673" t="str">
            <v>B46KDPA</v>
          </cell>
          <cell r="Q673">
            <v>432115035973</v>
          </cell>
          <cell r="R673" t="str">
            <v>HP-NB B46KDPA OMEN GAMING 16-WF1179TX I9</v>
          </cell>
        </row>
        <row r="674">
          <cell r="N674" t="str">
            <v>B46KCPA</v>
          </cell>
          <cell r="Q674">
            <v>432115035972</v>
          </cell>
          <cell r="R674" t="str">
            <v>HP-NB B46KCPA OMEN GAMING 16-WF1178TX I9</v>
          </cell>
        </row>
        <row r="675">
          <cell r="N675" t="str">
            <v>B46KBPA</v>
          </cell>
          <cell r="Q675">
            <v>432115035971</v>
          </cell>
          <cell r="R675" t="str">
            <v>HP-NB B46KBPA OMENGAMING 16-WF1177TX I7</v>
          </cell>
        </row>
        <row r="676">
          <cell r="N676" t="str">
            <v>B45W3PA</v>
          </cell>
          <cell r="Q676">
            <v>432115035970</v>
          </cell>
          <cell r="R676" t="str">
            <v>HP-NB B45W3PA OMN TRNSCND 14-FB0144TX U9</v>
          </cell>
        </row>
        <row r="677">
          <cell r="N677" t="str">
            <v>B45W2PA</v>
          </cell>
          <cell r="Q677">
            <v>432115035969</v>
          </cell>
          <cell r="R677" t="str">
            <v>HP-NB B45W2PA OMN TRNSCND 14-FB0143TX U9</v>
          </cell>
        </row>
        <row r="678">
          <cell r="N678" t="str">
            <v>B45W1PA</v>
          </cell>
          <cell r="Q678">
            <v>432115035968</v>
          </cell>
          <cell r="R678" t="str">
            <v>HP-NB B45W1PA OMN TRNSCND 14-FB0142TX U9</v>
          </cell>
        </row>
        <row r="679">
          <cell r="N679" t="str">
            <v>B45TWPA</v>
          </cell>
          <cell r="Q679">
            <v>432115035966</v>
          </cell>
          <cell r="R679" t="str">
            <v>HP-NB B45TWPA VICTSGAMING 15-FA1447TX I5</v>
          </cell>
        </row>
        <row r="680">
          <cell r="N680" t="str">
            <v>AY2U7PA</v>
          </cell>
          <cell r="Q680">
            <v>432115035965</v>
          </cell>
          <cell r="R680" t="str">
            <v>HP-NB AY2U7PA VICTUSGAMING 16-R0338TX I7</v>
          </cell>
        </row>
        <row r="681">
          <cell r="N681" t="str">
            <v>AY2U6PA</v>
          </cell>
          <cell r="Q681">
            <v>432115035964</v>
          </cell>
          <cell r="R681" t="str">
            <v>HP-NB AY2U6PA VICTUSGAMING 16-R0286TX I5</v>
          </cell>
        </row>
        <row r="682">
          <cell r="N682" t="str">
            <v>499M7A - FOR SIR MAC</v>
          </cell>
          <cell r="Q682">
            <v>432121100299</v>
          </cell>
          <cell r="R682" t="str">
            <v>HP-NB 499M7A COLORLASERJETPRO MFP3303FDN</v>
          </cell>
        </row>
        <row r="683">
          <cell r="N683" t="str">
            <v>OMEN HYPERX</v>
          </cell>
          <cell r="Q683">
            <v>432115036541</v>
          </cell>
          <cell r="R683" t="str">
            <v>HP-NB AX6G1AAHYPERXCLOUDIIISWLWHTGMHSFOC</v>
          </cell>
        </row>
        <row r="684">
          <cell r="N684" t="str">
            <v>CF1N7PA</v>
          </cell>
          <cell r="Q684">
            <v>432115036531</v>
          </cell>
          <cell r="R684" t="str">
            <v>HP-NB CF1N7PA 15-FC0123AU SLEF</v>
          </cell>
        </row>
        <row r="685">
          <cell r="N685" t="str">
            <v>CF1N6PA</v>
          </cell>
          <cell r="Q685">
            <v>432115036530</v>
          </cell>
          <cell r="R685" t="str">
            <v>HP-NB CF1N6PA 15-FC0121AU SLEF</v>
          </cell>
        </row>
        <row r="686">
          <cell r="N686" t="str">
            <v>CF1D5PA</v>
          </cell>
          <cell r="Q686">
            <v>432115036529</v>
          </cell>
          <cell r="R686" t="str">
            <v>HP-NB CF1D5PA VICTUS 15-FA2401TX</v>
          </cell>
        </row>
        <row r="687">
          <cell r="N687" t="str">
            <v>BG5R8PA</v>
          </cell>
          <cell r="Q687">
            <v>432115036502</v>
          </cell>
          <cell r="R687" t="str">
            <v>HP-NB BG5R8PA 15-FD0567TU GEOX 12GB</v>
          </cell>
        </row>
        <row r="688">
          <cell r="N688" t="str">
            <v>C28G5PA</v>
          </cell>
          <cell r="Q688">
            <v>432115036385</v>
          </cell>
          <cell r="R688" t="str">
            <v>HP-NB C28G5PA 15-FC0553AU GEOX</v>
          </cell>
        </row>
        <row r="689">
          <cell r="N689" t="str">
            <v>BX8B2PA</v>
          </cell>
          <cell r="Q689">
            <v>432115036380</v>
          </cell>
          <cell r="R689" t="str">
            <v>HP-NB BX8B2PA 15-FC0488AU SV</v>
          </cell>
        </row>
        <row r="690">
          <cell r="N690" t="str">
            <v>BA4N3PA</v>
          </cell>
          <cell r="O690" t="str">
            <v>NATURAL SILVER</v>
          </cell>
          <cell r="Q690">
            <v>432115036189</v>
          </cell>
          <cell r="R690" t="str">
            <v>HP-NB BA4N3PA 15-FC0425AU UPSON</v>
          </cell>
        </row>
        <row r="691">
          <cell r="N691" t="str">
            <v>BG5R9PA</v>
          </cell>
          <cell r="O691" t="str">
            <v>MOONLIGHT BLUE</v>
          </cell>
          <cell r="Q691">
            <v>432115036188</v>
          </cell>
          <cell r="R691" t="str">
            <v>HP-NB BG5R9PA PAV PLUS 14-EW1121TU</v>
          </cell>
        </row>
        <row r="692">
          <cell r="N692" t="str">
            <v>BG5R7PA</v>
          </cell>
          <cell r="O692" t="str">
            <v>NATURAL SILVER</v>
          </cell>
          <cell r="Q692">
            <v>432115036187</v>
          </cell>
          <cell r="R692" t="str">
            <v>HP-NB BG5R7PA 14-EP0338TU N100</v>
          </cell>
        </row>
        <row r="693">
          <cell r="N693" t="str">
            <v>8W374PA</v>
          </cell>
          <cell r="Q693">
            <v>432115036082</v>
          </cell>
          <cell r="R693" t="str">
            <v>HP-NB 8W374PA VICTUS 15-FB1019AX 16GB DS</v>
          </cell>
        </row>
        <row r="694">
          <cell r="N694" t="str">
            <v>B7WG0PA</v>
          </cell>
          <cell r="Q694">
            <v>432115036081</v>
          </cell>
          <cell r="R694" t="str">
            <v>HP-NB B7WG0PA VICTUS 15-FA2729TX</v>
          </cell>
        </row>
        <row r="695">
          <cell r="N695" t="str">
            <v>B7WA9PA</v>
          </cell>
          <cell r="Q695">
            <v>432115036080</v>
          </cell>
          <cell r="R695" t="str">
            <v>HP-NB B7WA9PA VICTUS 15-FA2728TX</v>
          </cell>
        </row>
        <row r="696">
          <cell r="N696" t="str">
            <v>B7WA8PA</v>
          </cell>
          <cell r="Q696">
            <v>432115036079</v>
          </cell>
          <cell r="R696" t="str">
            <v>HP-NB B7WA8PA VICTUS 15-FA2727TX</v>
          </cell>
        </row>
        <row r="697">
          <cell r="N697" t="str">
            <v>8W374PA16GB</v>
          </cell>
          <cell r="O697" t="str">
            <v>FOR BOM</v>
          </cell>
          <cell r="Q697">
            <v>432115035999</v>
          </cell>
          <cell r="R697" t="str">
            <v>HP-NB 8W374PA VICTUS 15-FB1019AX 16GB</v>
          </cell>
        </row>
        <row r="698">
          <cell r="N698" t="str">
            <v>K7X20AA</v>
          </cell>
          <cell r="Q698">
            <v>531217060081</v>
          </cell>
          <cell r="R698" t="str">
            <v>HP K7X20AA SLEEVE 11.6IN MAGENTA</v>
          </cell>
        </row>
        <row r="699">
          <cell r="N699" t="str">
            <v>SIMPLUS</v>
          </cell>
          <cell r="Q699">
            <v>481015290071</v>
          </cell>
          <cell r="R699" t="str">
            <v>HP-NB SIMPLUS KQZG007BK01-OF-PH AFBK FOC</v>
          </cell>
        </row>
        <row r="700">
          <cell r="N700" t="str">
            <v>SIMPLUS</v>
          </cell>
          <cell r="Q700">
            <v>481015290066</v>
          </cell>
          <cell r="R700" t="str">
            <v>HP-NB SIMPLUS KQZG007CW01-OF-PH AFRY FOC</v>
          </cell>
        </row>
        <row r="701">
          <cell r="N701" t="str">
            <v>NIIMBOT</v>
          </cell>
          <cell r="Q701">
            <v>432121130017</v>
          </cell>
          <cell r="R701" t="str">
            <v>HP-NB NIIMBOT B1 THERMAL PRINTER GRAY</v>
          </cell>
        </row>
        <row r="702">
          <cell r="N702" t="str">
            <v>NIIMBOT</v>
          </cell>
          <cell r="Q702">
            <v>432121130016</v>
          </cell>
          <cell r="R702" t="str">
            <v>HP-NB NIIMBOT B1 THERMAL PRINTER GREEN</v>
          </cell>
        </row>
        <row r="703">
          <cell r="N703" t="str">
            <v>NIIMBOT</v>
          </cell>
          <cell r="Q703">
            <v>432121130015</v>
          </cell>
          <cell r="R703" t="str">
            <v>HP-NB NIIMBOT B1 THERMAL PRINTER BLUE</v>
          </cell>
        </row>
        <row r="704">
          <cell r="N704" t="str">
            <v>NIIMBOT</v>
          </cell>
          <cell r="Q704">
            <v>432121130014</v>
          </cell>
          <cell r="R704" t="str">
            <v>HP-NB NIIMBOT B1 THERMAL PRINTER SILVER</v>
          </cell>
        </row>
        <row r="705">
          <cell r="N705" t="str">
            <v>NIIMBOT</v>
          </cell>
          <cell r="Q705">
            <v>432121130013</v>
          </cell>
          <cell r="R705" t="str">
            <v>HP-NB NIIMBOT B1 THERMAL PRINTER SBU</v>
          </cell>
        </row>
        <row r="706">
          <cell r="N706" t="str">
            <v>BQ5B1PT</v>
          </cell>
          <cell r="Q706">
            <v>432115037006</v>
          </cell>
          <cell r="R706" t="str">
            <v>HP-NB BQ5B1PT PROBOOK 4 G1I 14 AI COR</v>
          </cell>
        </row>
        <row r="707">
          <cell r="N707" t="str">
            <v>4QF95AA</v>
          </cell>
          <cell r="Q707">
            <v>531217060178</v>
          </cell>
          <cell r="R707" t="str">
            <v>HP BUNDLE 4QF95AA TOPLOAD 15.6N BK/SV</v>
          </cell>
        </row>
        <row r="708">
          <cell r="N708" t="str">
            <v>V5C23AA</v>
          </cell>
          <cell r="Q708">
            <v>531217060101</v>
          </cell>
          <cell r="R708" t="str">
            <v>HP BUNDLE V5C23AA CHROMA SLEEVE</v>
          </cell>
        </row>
        <row r="709">
          <cell r="N709" t="str">
            <v>K0B39AA</v>
          </cell>
          <cell r="Q709">
            <v>531217060078</v>
          </cell>
          <cell r="R709" t="str">
            <v>HP BUNDLE K0B39AA BACKPACK 15.6N</v>
          </cell>
        </row>
        <row r="710">
          <cell r="N710" t="str">
            <v>V5C27AA</v>
          </cell>
          <cell r="Q710">
            <v>431916100969</v>
          </cell>
          <cell r="R710" t="str">
            <v>HP BUNDLE V5C27AA CHROMA SLEEVE</v>
          </cell>
        </row>
        <row r="711">
          <cell r="N711" t="str">
            <v>V5C21AA</v>
          </cell>
          <cell r="Q711">
            <v>431916100942</v>
          </cell>
          <cell r="R711" t="str">
            <v>HP BUNDLE V5C21AA CHROMA SLEEVE</v>
          </cell>
        </row>
        <row r="712">
          <cell r="N712" t="str">
            <v>6LM12PA</v>
          </cell>
          <cell r="Q712">
            <v>432115032315</v>
          </cell>
          <cell r="R712" t="str">
            <v>HP 6LM12PA PAVILION 15-CS2009TX I7-8565U</v>
          </cell>
        </row>
        <row r="713">
          <cell r="N713" t="str">
            <v>6ML23PA</v>
          </cell>
          <cell r="Q713">
            <v>432115032316</v>
          </cell>
          <cell r="R713" t="str">
            <v>HP 6ML23PA 14S-DK0002AX R3-3200U</v>
          </cell>
        </row>
        <row r="714">
          <cell r="N714" t="str">
            <v>6SD77PA</v>
          </cell>
          <cell r="Q714">
            <v>432115032318</v>
          </cell>
          <cell r="R714" t="str">
            <v>HP 6SD77PA ENVY 13-AQ0014TX I7-8565U</v>
          </cell>
        </row>
        <row r="715">
          <cell r="N715" t="str">
            <v>6SD84PA</v>
          </cell>
          <cell r="Q715">
            <v>432115032321</v>
          </cell>
          <cell r="R715" t="str">
            <v>HP 6SD84PA ENVY 13-AQ0012TX I5-8265U</v>
          </cell>
        </row>
        <row r="716">
          <cell r="N716" t="str">
            <v>6SD87PA</v>
          </cell>
          <cell r="Q716">
            <v>432115032322</v>
          </cell>
          <cell r="R716" t="str">
            <v>HP 6SD87PA ENVY 13-AQ0013TX I7-8565U</v>
          </cell>
        </row>
        <row r="717">
          <cell r="N717" t="str">
            <v>6XA37PA</v>
          </cell>
          <cell r="Q717">
            <v>432115032324</v>
          </cell>
          <cell r="R717" t="str">
            <v>HP 6XA37PA 14S-CF1029TU I5-8265U</v>
          </cell>
        </row>
        <row r="718">
          <cell r="N718" t="str">
            <v>6YU15PA</v>
          </cell>
          <cell r="Q718">
            <v>432115032325</v>
          </cell>
          <cell r="R718" t="str">
            <v>HP 6YU15PA ENVY X360 13-AR0067AU</v>
          </cell>
        </row>
        <row r="719">
          <cell r="N719" t="str">
            <v>6YU18PA</v>
          </cell>
          <cell r="Q719">
            <v>432115032326</v>
          </cell>
          <cell r="R719" t="str">
            <v>HP 6YU18PA ENVY X360 13-AR0068AU</v>
          </cell>
        </row>
        <row r="720">
          <cell r="N720" t="str">
            <v>6YU21PA</v>
          </cell>
          <cell r="Q720">
            <v>432115032327</v>
          </cell>
          <cell r="R720" t="str">
            <v>HP 6YU21PA ENVY X360 13-AR0069AU</v>
          </cell>
        </row>
        <row r="721">
          <cell r="N721" t="str">
            <v>7BJ42PA</v>
          </cell>
          <cell r="Q721">
            <v>432115032329</v>
          </cell>
          <cell r="R721" t="str">
            <v>HP 7BJ42PA 14S-CF1057TX I5-8265U</v>
          </cell>
        </row>
        <row r="722">
          <cell r="N722" t="str">
            <v>7BJ43PA</v>
          </cell>
          <cell r="Q722">
            <v>432115032330</v>
          </cell>
          <cell r="R722" t="str">
            <v>HP 7BJ43PA LAPTOP 15S-DU0044TX I7-8565U</v>
          </cell>
        </row>
        <row r="723">
          <cell r="N723" t="str">
            <v>7CS17PA</v>
          </cell>
          <cell r="Q723">
            <v>432115032331</v>
          </cell>
          <cell r="R723" t="str">
            <v>HP 7CS17PA PAVILION14-CE2085TX I5-8265U</v>
          </cell>
        </row>
        <row r="724">
          <cell r="N724" t="str">
            <v>7CS21PA</v>
          </cell>
          <cell r="Q724">
            <v>432115032332</v>
          </cell>
          <cell r="R724" t="str">
            <v>HP 7CS21PA PAVILION 14-CE2086TX I5-8265U</v>
          </cell>
        </row>
        <row r="725">
          <cell r="N725" t="str">
            <v>7CS22PA</v>
          </cell>
          <cell r="Q725">
            <v>432115032333</v>
          </cell>
          <cell r="R725" t="str">
            <v>HP 7CS22PA PAVILION 15-CS2081TX I5-8265U</v>
          </cell>
        </row>
        <row r="726">
          <cell r="N726" t="str">
            <v>1-1-0 WIN10 SDB</v>
          </cell>
          <cell r="Q726">
            <v>432115032334</v>
          </cell>
          <cell r="R726" t="str">
            <v>HP 7EW40PA OMEN 15-DC1072TX I7-9750H</v>
          </cell>
        </row>
        <row r="727">
          <cell r="N727" t="str">
            <v>1-1-0 WIN10 SDB</v>
          </cell>
          <cell r="Q727">
            <v>432115032339</v>
          </cell>
          <cell r="R727" t="str">
            <v>HP 7KV53PA OMEN 15-DH0021TX I7-9750H</v>
          </cell>
        </row>
        <row r="728">
          <cell r="N728" t="str">
            <v>1-1-0 WIN10 SDB</v>
          </cell>
          <cell r="Q728">
            <v>432115032340</v>
          </cell>
          <cell r="R728" t="str">
            <v>HP 7KV54PA OMEN 15-DH0022TX I7-9750H</v>
          </cell>
        </row>
        <row r="729">
          <cell r="N729" t="str">
            <v>6VZ16PA</v>
          </cell>
          <cell r="Q729">
            <v>432115032300</v>
          </cell>
          <cell r="R729" t="str">
            <v>HP 6VZ16PA PAV X360 14-DH0046TX</v>
          </cell>
        </row>
        <row r="730">
          <cell r="N730" t="str">
            <v>6GM39PA</v>
          </cell>
          <cell r="Q730">
            <v>432115032291</v>
          </cell>
          <cell r="R730" t="str">
            <v>HP 6GM39PA 14S-CF0057TU I3-7020U</v>
          </cell>
        </row>
        <row r="731">
          <cell r="N731" t="str">
            <v>1-1-0 WIN10 SDB</v>
          </cell>
          <cell r="Q731">
            <v>432115032335</v>
          </cell>
          <cell r="R731" t="str">
            <v>HP 7GK78PA OMEN 15-DC1074TX I7-9750H</v>
          </cell>
        </row>
        <row r="732">
          <cell r="N732" t="str">
            <v>1-1-0 WIN10 SDB</v>
          </cell>
          <cell r="Q732">
            <v>432115032338</v>
          </cell>
          <cell r="R732" t="str">
            <v>HP 7KV51PA OMEN 15-DH0020TX I7-9750H</v>
          </cell>
        </row>
        <row r="733">
          <cell r="N733" t="str">
            <v>6SD73PA</v>
          </cell>
          <cell r="Q733">
            <v>432115032295</v>
          </cell>
          <cell r="R733" t="str">
            <v>HP 6SD73PA PAV X360 14-DH0034TX</v>
          </cell>
        </row>
        <row r="734">
          <cell r="N734" t="str">
            <v>6SD80PA</v>
          </cell>
          <cell r="Q734">
            <v>432115032296</v>
          </cell>
          <cell r="R734" t="str">
            <v>HP 6SD80PA 15S-DU0013TX I5-8265U</v>
          </cell>
        </row>
        <row r="735">
          <cell r="N735" t="str">
            <v>6SD93PA</v>
          </cell>
          <cell r="Q735">
            <v>432115032297</v>
          </cell>
          <cell r="R735" t="str">
            <v>HP 6SD93PA PAV X360 14-DH0036TU</v>
          </cell>
        </row>
        <row r="736">
          <cell r="N736" t="str">
            <v>SERVICE UK190E</v>
          </cell>
          <cell r="Q736">
            <v>811118180158</v>
          </cell>
          <cell r="R736" t="str">
            <v>HP UK190E CAREPACK EXTENDED WARRANTY 3YR</v>
          </cell>
        </row>
        <row r="737">
          <cell r="N737" t="str">
            <v>U0VR9E</v>
          </cell>
          <cell r="Q737">
            <v>811118180174</v>
          </cell>
          <cell r="R737" t="str">
            <v>HP-NB U0VR9E CAREPACKEXTENDEDWARRANTY3YR</v>
          </cell>
        </row>
        <row r="738">
          <cell r="N738" t="str">
            <v>18H98PA</v>
          </cell>
          <cell r="Q738">
            <v>432115032940</v>
          </cell>
          <cell r="R738" t="str">
            <v>HP-NB 18H98PA PAV X360 CONVT 14-DH1175TU</v>
          </cell>
        </row>
        <row r="739">
          <cell r="N739" t="str">
            <v>18H99PA</v>
          </cell>
          <cell r="Q739">
            <v>432115032941</v>
          </cell>
          <cell r="R739" t="str">
            <v>HP-NB 18H99PA PAV X360 CONVT 14-DH1062TX</v>
          </cell>
        </row>
        <row r="740">
          <cell r="N740" t="str">
            <v>18J01PA</v>
          </cell>
          <cell r="Q740">
            <v>432115032943</v>
          </cell>
          <cell r="R740" t="str">
            <v>HP-NB 18J01PA ENVY X360CONVT 13-AR0160AU</v>
          </cell>
        </row>
        <row r="741">
          <cell r="N741" t="str">
            <v>18J02PA</v>
          </cell>
          <cell r="Q741">
            <v>432115032944</v>
          </cell>
          <cell r="R741" t="str">
            <v>HP-NB 18J02PA ENVY X360CONVT 13-AR0161AU</v>
          </cell>
        </row>
        <row r="742">
          <cell r="N742">
            <v>71007798</v>
          </cell>
          <cell r="O742">
            <v>42814749</v>
          </cell>
          <cell r="Q742">
            <v>432115032753</v>
          </cell>
          <cell r="R742" t="str">
            <v>HP-NB 6FW20AV-71007798 ELITE DF I5</v>
          </cell>
        </row>
        <row r="743">
          <cell r="N743">
            <v>71007956</v>
          </cell>
          <cell r="O743">
            <v>42814749</v>
          </cell>
          <cell r="Q743">
            <v>432115032754</v>
          </cell>
          <cell r="R743" t="str">
            <v>HP-NB 6FW20AV-71007956 ELITE DF I5 3DXP</v>
          </cell>
        </row>
        <row r="744">
          <cell r="N744" t="str">
            <v>18J03PA</v>
          </cell>
          <cell r="Q744">
            <v>432115032945</v>
          </cell>
          <cell r="R744" t="str">
            <v>HP-NB 18J03PA ENVY X360CONVT 13-AR0162AU</v>
          </cell>
        </row>
        <row r="745">
          <cell r="N745" t="str">
            <v>18J08PA</v>
          </cell>
          <cell r="Q745">
            <v>432115032946</v>
          </cell>
          <cell r="R745" t="str">
            <v>HP-NB 18J08PA 14S-CF3056TU SV</v>
          </cell>
        </row>
        <row r="746">
          <cell r="N746" t="str">
            <v>18J12PA</v>
          </cell>
          <cell r="Q746">
            <v>432115032948</v>
          </cell>
          <cell r="R746" t="str">
            <v>HP-NB 18J12PA 15S-DU2035TX SV</v>
          </cell>
        </row>
        <row r="747">
          <cell r="N747" t="str">
            <v>18J14PA</v>
          </cell>
          <cell r="Q747">
            <v>432115032949</v>
          </cell>
          <cell r="R747" t="str">
            <v>HP-NB 18J14PA 14S-DK1057AU GD</v>
          </cell>
        </row>
        <row r="748">
          <cell r="N748" t="str">
            <v>18J17PA</v>
          </cell>
          <cell r="Q748">
            <v>432115032950</v>
          </cell>
          <cell r="R748" t="str">
            <v>HP-NB 18J17PA 14S-CF3026TX SV</v>
          </cell>
        </row>
        <row r="749">
          <cell r="N749" t="str">
            <v>1A5Y9PA</v>
          </cell>
          <cell r="Q749">
            <v>432115032951</v>
          </cell>
          <cell r="R749" t="str">
            <v>HP-NB 1A5Y9PA PAV GAMING 15-EC0103AX</v>
          </cell>
        </row>
        <row r="750">
          <cell r="N750">
            <v>71007959</v>
          </cell>
          <cell r="O750">
            <v>42814749</v>
          </cell>
          <cell r="Q750">
            <v>432115032755</v>
          </cell>
          <cell r="R750" t="str">
            <v>HP-NB 6FW25AV-71007959 ELITE DF I7 1TB</v>
          </cell>
        </row>
        <row r="751">
          <cell r="N751" t="str">
            <v>1R8J3PA</v>
          </cell>
          <cell r="Q751">
            <v>432115032987</v>
          </cell>
          <cell r="R751" t="str">
            <v>HP-NB 1R8J3PA 14S-CF3033TX I3-1005G1 SV</v>
          </cell>
        </row>
        <row r="752">
          <cell r="N752" t="str">
            <v>1R8J2PA</v>
          </cell>
          <cell r="Q752">
            <v>432115032988</v>
          </cell>
          <cell r="R752" t="str">
            <v>HP-NB 1R8J2PA 14S-CF2041TU N4020 SV</v>
          </cell>
        </row>
        <row r="753">
          <cell r="N753" t="str">
            <v>1R8J6PA</v>
          </cell>
          <cell r="Q753">
            <v>432115032990</v>
          </cell>
          <cell r="R753" t="str">
            <v>HP-NB 1R8J6PA 14S-CF2042TU N5030 SV</v>
          </cell>
        </row>
        <row r="754">
          <cell r="N754" t="str">
            <v>9MT21PA</v>
          </cell>
          <cell r="Q754">
            <v>432115032817</v>
          </cell>
          <cell r="R754" t="str">
            <v>HP 9MT21PA ENVY 13-AQ1062TX PM LAPTOP</v>
          </cell>
        </row>
        <row r="755">
          <cell r="N755" t="str">
            <v>U8LH8E</v>
          </cell>
          <cell r="O755" t="str">
            <v>HP-NB</v>
          </cell>
          <cell r="Q755">
            <v>811118180202</v>
          </cell>
          <cell r="R755" t="str">
            <v>HP-NB U8LH8E CAREPACK 3YR NBD ONS</v>
          </cell>
        </row>
        <row r="756">
          <cell r="N756" t="str">
            <v>UM945E</v>
          </cell>
          <cell r="Q756">
            <v>811118180211</v>
          </cell>
          <cell r="R756" t="str">
            <v>HP-NBUM945ECAREPACKEXTENDEDWARRANTY3YRPR</v>
          </cell>
        </row>
        <row r="757">
          <cell r="N757" t="str">
            <v>L8J89AA</v>
          </cell>
          <cell r="Q757">
            <v>531217060084</v>
          </cell>
          <cell r="R757" t="str">
            <v>HP BUNDLE L8J89AA 15.6 BACKPACK GREY</v>
          </cell>
        </row>
        <row r="758">
          <cell r="N758" t="str">
            <v>SORBET ORANGE</v>
          </cell>
          <cell r="Q758">
            <v>432115031485</v>
          </cell>
          <cell r="R758" t="str">
            <v>HP K5C29PA CHROMEBOOK 14-X007TU</v>
          </cell>
        </row>
        <row r="759">
          <cell r="N759" t="str">
            <v>SMOKE SILVER</v>
          </cell>
          <cell r="Q759">
            <v>432115031486</v>
          </cell>
          <cell r="R759" t="str">
            <v>HP K5C30PA CHROMEBOOK 14-X008TU</v>
          </cell>
        </row>
        <row r="760">
          <cell r="N760" t="str">
            <v>WIN BGN BT JKB HD NT</v>
          </cell>
          <cell r="Q760">
            <v>432115031599</v>
          </cell>
          <cell r="R760" t="str">
            <v>HP Z6Y59PA 14-AM054TX I3-6006U</v>
          </cell>
        </row>
        <row r="761">
          <cell r="N761" t="str">
            <v>BT TBS HD NT</v>
          </cell>
          <cell r="Q761">
            <v>432115031596</v>
          </cell>
          <cell r="R761" t="str">
            <v>HP Z6Y13PA 14-AM095TU I3-6006U</v>
          </cell>
        </row>
        <row r="762">
          <cell r="N762" t="str">
            <v>BT CDR HD NT</v>
          </cell>
          <cell r="Q762">
            <v>432115031597</v>
          </cell>
          <cell r="R762" t="str">
            <v>HP Z6Y14PA 14-AM096TU I3-6006U</v>
          </cell>
        </row>
        <row r="763">
          <cell r="N763" t="str">
            <v>WIN BGN BT TBS HD NT</v>
          </cell>
          <cell r="Q763">
            <v>432115031598</v>
          </cell>
          <cell r="R763" t="str">
            <v>HP Z6Y15PA 14-AM046TX I3-6006U</v>
          </cell>
        </row>
        <row r="764">
          <cell r="N764" t="str">
            <v>NO ODD FHD T FF+ PEN BP GOLD</v>
          </cell>
          <cell r="Q764">
            <v>432115031705</v>
          </cell>
          <cell r="R764" t="str">
            <v>HP 2GD34PA PAVILLION X360 14-BA076TX</v>
          </cell>
        </row>
        <row r="765">
          <cell r="N765" t="str">
            <v>ODD SILVER FHD</v>
          </cell>
          <cell r="Q765">
            <v>432115031792</v>
          </cell>
          <cell r="R765" t="str">
            <v>HP 2VL74PA 15-BS643TX I7-7500U</v>
          </cell>
        </row>
        <row r="766">
          <cell r="N766" t="str">
            <v>GOLD</v>
          </cell>
          <cell r="Q766">
            <v>432115031779</v>
          </cell>
          <cell r="R766" t="str">
            <v>HP 2DN64PA PAV X360 CONVERT 14-BA064TX</v>
          </cell>
        </row>
        <row r="767">
          <cell r="N767" t="str">
            <v>SILVER</v>
          </cell>
          <cell r="Q767">
            <v>432115031787</v>
          </cell>
          <cell r="R767" t="str">
            <v>HP 2GU95PA PAV X360 CONVERT 14-BA077TX</v>
          </cell>
        </row>
        <row r="768">
          <cell r="N768" t="str">
            <v>2LS50PA</v>
          </cell>
          <cell r="Q768">
            <v>432115031788</v>
          </cell>
          <cell r="R768" t="str">
            <v>HP 2LS50PA ENVY 13-AD110TX I5-8250U</v>
          </cell>
        </row>
        <row r="769">
          <cell r="N769" t="str">
            <v>2LS51PA</v>
          </cell>
          <cell r="Q769">
            <v>432115031789</v>
          </cell>
          <cell r="R769" t="str">
            <v>HP 2LS51PA ENVY 13-AD111TX I5-8250U</v>
          </cell>
        </row>
        <row r="770">
          <cell r="N770" t="str">
            <v>WIN 2017 AC BT NSV FHD</v>
          </cell>
          <cell r="Q770">
            <v>432115031791</v>
          </cell>
          <cell r="R770" t="str">
            <v>HP 2LS55PA ENVY 13-AD115TX I7-8550U</v>
          </cell>
        </row>
        <row r="771">
          <cell r="N771" t="str">
            <v>BGN BT JTB HD 1-1-0</v>
          </cell>
          <cell r="Q771">
            <v>432115031809</v>
          </cell>
          <cell r="R771" t="str">
            <v>HP 2BD82PA 14-BW019AX A9-9420</v>
          </cell>
        </row>
        <row r="772">
          <cell r="N772" t="str">
            <v>ODD DVD JTB HD1-1-0</v>
          </cell>
          <cell r="Q772">
            <v>432115031810</v>
          </cell>
          <cell r="R772" t="str">
            <v>HP 2BD90PA 15-BW003AX A12-9720P</v>
          </cell>
        </row>
        <row r="773">
          <cell r="N773" t="str">
            <v>ODD DVD NSV HD 1-1-0</v>
          </cell>
          <cell r="Q773">
            <v>432115031811</v>
          </cell>
          <cell r="R773" t="str">
            <v>HP 2DN53PA 15-BW074AX A10-9620P</v>
          </cell>
        </row>
        <row r="774">
          <cell r="N774" t="str">
            <v>WIN BGN BT JTB 1-1-0</v>
          </cell>
          <cell r="Q774">
            <v>432115031860</v>
          </cell>
          <cell r="R774" t="str">
            <v>HP 3FQ38PA 14-BS116TX I5-8250U</v>
          </cell>
        </row>
        <row r="775">
          <cell r="N775" t="str">
            <v>2GB DISC/GOLD</v>
          </cell>
          <cell r="Q775">
            <v>432115031849</v>
          </cell>
          <cell r="R775" t="str">
            <v>HP 3DJ75PA PAVILION 15-CK047TX I7-8550U</v>
          </cell>
        </row>
        <row r="776">
          <cell r="N776" t="str">
            <v>DISC NO ODD GOLD</v>
          </cell>
          <cell r="Q776">
            <v>432115031853</v>
          </cell>
          <cell r="R776" t="str">
            <v>HP 3FB36PA PAVILION 14-BF171TX I7-8550U</v>
          </cell>
        </row>
        <row r="777">
          <cell r="N777" t="str">
            <v>3FB43PA</v>
          </cell>
          <cell r="Q777">
            <v>432115031854</v>
          </cell>
          <cell r="R777" t="str">
            <v>HP 3FB43PA PAVILION X360 14-BA076TU</v>
          </cell>
        </row>
        <row r="778">
          <cell r="N778" t="str">
            <v>DISC NO ODD GOLD</v>
          </cell>
          <cell r="Q778">
            <v>432115031856</v>
          </cell>
          <cell r="R778" t="str">
            <v>HP 3FQ32PA PAVILION 15-CK066TX I5-8250U</v>
          </cell>
        </row>
        <row r="779">
          <cell r="N779" t="str">
            <v>UWVA/WHDC/IR/USLIMTS</v>
          </cell>
          <cell r="Q779">
            <v>432115031964</v>
          </cell>
          <cell r="R779" t="str">
            <v>HP 4KT89PA ENVY X360 13-AG0003AU</v>
          </cell>
        </row>
        <row r="780">
          <cell r="N780" t="str">
            <v>FINGERPRINT READER</v>
          </cell>
          <cell r="Q780">
            <v>432115031966</v>
          </cell>
          <cell r="R780" t="str">
            <v>HP 4QK23PA PAVILION X360 14-CD0068TX</v>
          </cell>
        </row>
        <row r="781">
          <cell r="N781" t="str">
            <v>ULTRA-VIOLET/BACKPACK</v>
          </cell>
          <cell r="Q781">
            <v>432115031973</v>
          </cell>
          <cell r="R781" t="str">
            <v>HP 4QK34PA PAVILION GAMING 15-CX0139TX</v>
          </cell>
        </row>
        <row r="782">
          <cell r="N782" t="str">
            <v>FINGERPRINT READER</v>
          </cell>
          <cell r="Q782">
            <v>432115031969</v>
          </cell>
          <cell r="R782" t="str">
            <v>HP 4QK28PA PAVILION X360 14-CD0069TX</v>
          </cell>
        </row>
        <row r="783">
          <cell r="N783" t="str">
            <v>BV LED UWVA WHDC IR USLIMTS</v>
          </cell>
          <cell r="Q783">
            <v>432115031970</v>
          </cell>
          <cell r="R783" t="str">
            <v>HP 4QK29PA ENVY X360 13-AG0025AU</v>
          </cell>
        </row>
        <row r="784">
          <cell r="N784" t="str">
            <v>8LA74PA</v>
          </cell>
          <cell r="Q784">
            <v>432115032455</v>
          </cell>
          <cell r="R784" t="str">
            <v>HP 8LA74PA 14S-CF0121TU N4000 SSD</v>
          </cell>
        </row>
        <row r="785">
          <cell r="N785" t="str">
            <v>7EW78PA</v>
          </cell>
          <cell r="Q785">
            <v>432115032452</v>
          </cell>
          <cell r="R785" t="str">
            <v>HP 7EW78PA OMEN 15-DC1073TX I7-9750H</v>
          </cell>
        </row>
        <row r="786">
          <cell r="N786" t="str">
            <v>8GD93PA</v>
          </cell>
          <cell r="Q786">
            <v>432115032453</v>
          </cell>
          <cell r="R786" t="str">
            <v>HP 8GD93PA 15S-DU0109TU N4000</v>
          </cell>
        </row>
        <row r="787">
          <cell r="N787" t="str">
            <v>8GD98PA</v>
          </cell>
          <cell r="Q787">
            <v>432115032454</v>
          </cell>
          <cell r="R787" t="str">
            <v>HP 8GD98PA 15S-DU0110TU N5000</v>
          </cell>
        </row>
        <row r="788">
          <cell r="N788" t="str">
            <v>9MV70PA</v>
          </cell>
          <cell r="Q788">
            <v>432115032623</v>
          </cell>
          <cell r="R788" t="str">
            <v>HP 9MV70PA OMEN 15-DH0177TX I7-9750H</v>
          </cell>
        </row>
        <row r="789">
          <cell r="N789" t="str">
            <v>9MT21PA</v>
          </cell>
          <cell r="Q789">
            <v>432115032624</v>
          </cell>
          <cell r="R789" t="str">
            <v>HP 9MT21PA ENVY 13-AQ1062TX I5-10210U</v>
          </cell>
        </row>
        <row r="790">
          <cell r="N790" t="str">
            <v>9MT08PA</v>
          </cell>
          <cell r="Q790">
            <v>432115032633</v>
          </cell>
          <cell r="R790" t="str">
            <v>HP 9MT08PA 14S-DK0136AU R7-3700U</v>
          </cell>
        </row>
        <row r="791">
          <cell r="N791" t="str">
            <v>9MS92PA</v>
          </cell>
          <cell r="Q791">
            <v>432115032634</v>
          </cell>
          <cell r="R791" t="str">
            <v>HP 9MS92PA 15S-DU0073TX I3-7020U</v>
          </cell>
        </row>
        <row r="792">
          <cell r="N792" t="str">
            <v>9MT20PA</v>
          </cell>
          <cell r="Q792">
            <v>432115032635</v>
          </cell>
          <cell r="R792" t="str">
            <v>HP 9MT20PA 15S-DU1062TX I7-10510U</v>
          </cell>
        </row>
        <row r="793">
          <cell r="N793" t="str">
            <v>9MT38PA</v>
          </cell>
          <cell r="Q793">
            <v>432115032636</v>
          </cell>
          <cell r="R793" t="str">
            <v>HP 9MT38PA 15S-DU1063TX I5-10210U</v>
          </cell>
        </row>
        <row r="794">
          <cell r="N794" t="str">
            <v>9MT23PA</v>
          </cell>
          <cell r="Q794">
            <v>432115032637</v>
          </cell>
          <cell r="R794" t="str">
            <v>HP 9MT23PA PAVILION GAMING 15-EC0063AX</v>
          </cell>
        </row>
        <row r="795">
          <cell r="N795" t="str">
            <v>8XK89PA</v>
          </cell>
          <cell r="Q795">
            <v>432115032638</v>
          </cell>
          <cell r="R795" t="str">
            <v>HP 8XK89PA PAVILION X36014-DH0146TU</v>
          </cell>
        </row>
        <row r="796">
          <cell r="N796" t="str">
            <v>8XA17PA</v>
          </cell>
          <cell r="Q796">
            <v>432115032639</v>
          </cell>
          <cell r="R796" t="str">
            <v>HP 8XA17PA PAVILION X360 14-DH1045TX</v>
          </cell>
        </row>
        <row r="797">
          <cell r="N797" t="str">
            <v>8WN07PA</v>
          </cell>
          <cell r="Q797">
            <v>432115032640</v>
          </cell>
          <cell r="R797" t="str">
            <v>HP 8WN07PA PAVILION X360 14-DH1046TX</v>
          </cell>
        </row>
        <row r="798">
          <cell r="N798" t="str">
            <v>9MT27PA</v>
          </cell>
          <cell r="Q798">
            <v>432115032621</v>
          </cell>
          <cell r="R798" t="str">
            <v>HP 9MT27PA OMEN 15-DH0178TX I7-9750H</v>
          </cell>
        </row>
        <row r="799">
          <cell r="N799" t="str">
            <v>9MT40PA</v>
          </cell>
          <cell r="Q799">
            <v>432115032645</v>
          </cell>
          <cell r="R799" t="str">
            <v>HP 9MT40PA PAVILION15-CS3113TX I5-1035G1</v>
          </cell>
        </row>
        <row r="800">
          <cell r="N800" t="str">
            <v>2Q581PA</v>
          </cell>
          <cell r="Q800">
            <v>432115032742</v>
          </cell>
          <cell r="R800" t="str">
            <v>HP-NB 2Q581PA 14S-CF0082TX I3-8130U</v>
          </cell>
        </row>
        <row r="801">
          <cell r="N801" t="str">
            <v>2Q589PA</v>
          </cell>
          <cell r="Q801">
            <v>432115032743</v>
          </cell>
          <cell r="R801" t="str">
            <v>HP-NB 2Q589PA 14S-CF0136TU I3-8130U</v>
          </cell>
        </row>
        <row r="802">
          <cell r="N802" t="str">
            <v>2U621PA</v>
          </cell>
          <cell r="Q802">
            <v>432115032744</v>
          </cell>
          <cell r="R802" t="str">
            <v>HP-NB 2U621PA 15S-DU0077TX I3-8130U</v>
          </cell>
        </row>
        <row r="803">
          <cell r="N803" t="str">
            <v>8WN06PA</v>
          </cell>
          <cell r="Q803">
            <v>432115032641</v>
          </cell>
          <cell r="R803" t="str">
            <v>HP 8WN06PA PAVILION X360 14-DH1152TU</v>
          </cell>
        </row>
        <row r="804">
          <cell r="N804" t="str">
            <v>9MT06PA</v>
          </cell>
          <cell r="Q804">
            <v>432115032642</v>
          </cell>
          <cell r="R804" t="str">
            <v>HP 9MT06PA PAVILION14-CE3063TX I5-1035G1</v>
          </cell>
        </row>
        <row r="805">
          <cell r="N805" t="str">
            <v>9MT11PA</v>
          </cell>
          <cell r="Q805">
            <v>432115032644</v>
          </cell>
          <cell r="R805" t="str">
            <v>HP 9MT11PA PAVILION15-CS3112TX I7-1065G7</v>
          </cell>
        </row>
        <row r="806">
          <cell r="N806" t="str">
            <v>9MS90PA</v>
          </cell>
          <cell r="Q806">
            <v>432115032629</v>
          </cell>
          <cell r="R806" t="str">
            <v>HP 9MS90PA 14S-CF0077TX I3-7020U</v>
          </cell>
        </row>
        <row r="807">
          <cell r="N807" t="str">
            <v>9MS88PA</v>
          </cell>
          <cell r="Q807">
            <v>432115032630</v>
          </cell>
          <cell r="R807" t="str">
            <v>HP 9MS88PA 14S-CF0127TU I3-7020U</v>
          </cell>
        </row>
        <row r="808">
          <cell r="N808" t="str">
            <v>9MT02PA</v>
          </cell>
          <cell r="Q808">
            <v>432115032631</v>
          </cell>
          <cell r="R808" t="str">
            <v>HP 9MT02PA 14S-CF2029TX I5-10210U</v>
          </cell>
        </row>
        <row r="809">
          <cell r="N809" t="str">
            <v>8WM93PA</v>
          </cell>
          <cell r="Q809">
            <v>432115032632</v>
          </cell>
          <cell r="R809" t="str">
            <v>HP 8WM93PA 14S-DK0123AU R5-3500U</v>
          </cell>
        </row>
        <row r="810">
          <cell r="N810" t="str">
            <v>9MT18PA</v>
          </cell>
          <cell r="Q810">
            <v>432115032617</v>
          </cell>
          <cell r="R810" t="str">
            <v>HP 9MT18PA OMEN 15-DH0176TX I7-9750H</v>
          </cell>
        </row>
        <row r="811">
          <cell r="N811" t="str">
            <v>9MT25PA</v>
          </cell>
          <cell r="Q811">
            <v>432115032619</v>
          </cell>
          <cell r="R811" t="str">
            <v>HP 9MT25PA OMEN 15-DC1113TX I7-9750H</v>
          </cell>
        </row>
        <row r="812">
          <cell r="N812" t="str">
            <v>9MT26PA</v>
          </cell>
          <cell r="Q812">
            <v>432115032620</v>
          </cell>
          <cell r="R812" t="str">
            <v>HP 9MT26PA OMEN 15-DC1114TX I7-9750H</v>
          </cell>
        </row>
        <row r="813">
          <cell r="N813" t="str">
            <v>9VV75PA</v>
          </cell>
          <cell r="Q813">
            <v>432115032705</v>
          </cell>
          <cell r="R813" t="str">
            <v>HP 9VV75PA LAPTOP 14S-DK0144AU</v>
          </cell>
        </row>
        <row r="814">
          <cell r="N814" t="str">
            <v>9MT22PA</v>
          </cell>
          <cell r="Q814">
            <v>432115032625</v>
          </cell>
          <cell r="R814" t="str">
            <v>HP 9MT22PA ENVY 13-AQ1063TX I7-10510U</v>
          </cell>
        </row>
        <row r="815">
          <cell r="N815" t="str">
            <v>9MT28PA</v>
          </cell>
          <cell r="Q815">
            <v>432115032626</v>
          </cell>
          <cell r="R815" t="str">
            <v>HP 9MT28PA ENVY X360 13-AR0124AU R3</v>
          </cell>
        </row>
        <row r="816">
          <cell r="N816" t="str">
            <v>9MT32PA</v>
          </cell>
          <cell r="Q816">
            <v>432115032627</v>
          </cell>
          <cell r="R816" t="str">
            <v>HP 9MT32PA ENVY X360 13-AR0125AU R5</v>
          </cell>
        </row>
        <row r="817">
          <cell r="N817" t="str">
            <v>9MT33PA</v>
          </cell>
          <cell r="Q817">
            <v>432115032628</v>
          </cell>
          <cell r="R817" t="str">
            <v>HP 9MT33PA ENVY X360 13-AR0126AU R7</v>
          </cell>
        </row>
        <row r="818">
          <cell r="N818" t="str">
            <v>483S1PA</v>
          </cell>
          <cell r="O818" t="str">
            <v>2-2-2 MSOFC</v>
          </cell>
          <cell r="Q818">
            <v>432115033604</v>
          </cell>
          <cell r="R818" t="str">
            <v>HP-NB 483S1PA 14S-CF2515TU</v>
          </cell>
        </row>
        <row r="819">
          <cell r="N819" t="str">
            <v>425Y6PA</v>
          </cell>
          <cell r="O819" t="str">
            <v>W10 2-2-0 MSOFC</v>
          </cell>
          <cell r="Q819">
            <v>432115033605</v>
          </cell>
          <cell r="R819" t="str">
            <v>HP-NB 425Y6PA OMEN 15-EK1031TX</v>
          </cell>
        </row>
        <row r="820">
          <cell r="N820" t="str">
            <v>425Y8PA</v>
          </cell>
          <cell r="O820" t="str">
            <v>W10 2-2-0 MSOFC</v>
          </cell>
          <cell r="Q820">
            <v>432115033606</v>
          </cell>
          <cell r="R820" t="str">
            <v>HP-NB 425Y8PA OMEN 15-EK1096TX</v>
          </cell>
        </row>
        <row r="821">
          <cell r="N821" t="str">
            <v>43M78PA</v>
          </cell>
          <cell r="O821" t="str">
            <v>W10 2-2-0 MSOFC</v>
          </cell>
          <cell r="Q821">
            <v>432115033607</v>
          </cell>
          <cell r="R821" t="str">
            <v>HP-NB 43M78PA OMEN 15-EN1038AX</v>
          </cell>
        </row>
        <row r="822">
          <cell r="N822" t="str">
            <v>46R20PA</v>
          </cell>
          <cell r="O822" t="str">
            <v>FPR 2-2-2 MSOFC</v>
          </cell>
          <cell r="Q822">
            <v>432115033608</v>
          </cell>
          <cell r="R822" t="str">
            <v>HP-NB 46R20PA HP ENVY 13-BA1503TX</v>
          </cell>
        </row>
        <row r="823">
          <cell r="N823" t="str">
            <v>46R21PA</v>
          </cell>
          <cell r="O823" t="str">
            <v>FPR 2-2-2 MSOFC</v>
          </cell>
          <cell r="Q823">
            <v>432115033609</v>
          </cell>
          <cell r="R823" t="str">
            <v>HP-NB 46R21PA HP ENVY 13-BA1504TX</v>
          </cell>
        </row>
        <row r="824">
          <cell r="N824" t="str">
            <v>46R22PA</v>
          </cell>
          <cell r="O824" t="str">
            <v>2-2-2 MSOFC</v>
          </cell>
          <cell r="Q824">
            <v>432115033610</v>
          </cell>
          <cell r="R824" t="str">
            <v>HP-NB 46R22PA HP PAVILION 14-DV0503TX</v>
          </cell>
        </row>
        <row r="825">
          <cell r="N825" t="str">
            <v>46R23PA</v>
          </cell>
          <cell r="O825" t="str">
            <v>2-2-2 MSOFC</v>
          </cell>
          <cell r="Q825">
            <v>432115033611</v>
          </cell>
          <cell r="R825" t="str">
            <v>HP-NB 46R23PA HP PAVILION 14-DV0504TX</v>
          </cell>
        </row>
        <row r="826">
          <cell r="N826" t="str">
            <v>46R24PA</v>
          </cell>
          <cell r="O826" t="str">
            <v>FPR 2-2-2 MSOFC</v>
          </cell>
          <cell r="Q826">
            <v>432115033612</v>
          </cell>
          <cell r="R826" t="str">
            <v>HP-NB 46R24PA HP PAV X360 14-DY0092TU</v>
          </cell>
        </row>
        <row r="827">
          <cell r="N827" t="str">
            <v>46R25PA</v>
          </cell>
          <cell r="O827" t="str">
            <v>FPR 2-2-2 MSOFC</v>
          </cell>
          <cell r="Q827">
            <v>432115033613</v>
          </cell>
          <cell r="R827" t="str">
            <v>HP-NB 46R25PA HP PAV X360 14-DY0093TU</v>
          </cell>
        </row>
        <row r="828">
          <cell r="N828" t="str">
            <v>46R26PA</v>
          </cell>
          <cell r="O828" t="str">
            <v>FPR 2-2-2 MSOFC</v>
          </cell>
          <cell r="Q828">
            <v>432115033614</v>
          </cell>
          <cell r="R828" t="str">
            <v>HP-NB 46R26PA HP PAV X360 14-DY0094TU</v>
          </cell>
        </row>
        <row r="829">
          <cell r="N829" t="str">
            <v>46R27PA</v>
          </cell>
          <cell r="O829" t="str">
            <v>FPR 2-2-2 MSOFC</v>
          </cell>
          <cell r="Q829">
            <v>432115033615</v>
          </cell>
          <cell r="R829" t="str">
            <v>HP-NB 46R27PA HP PAV X360 14-DY0096TU</v>
          </cell>
        </row>
        <row r="830">
          <cell r="N830" t="str">
            <v>46R30PA</v>
          </cell>
          <cell r="O830" t="str">
            <v>W10 2-2-2 MSOFC</v>
          </cell>
          <cell r="Q830">
            <v>432115033616</v>
          </cell>
          <cell r="R830" t="str">
            <v>HP-NB 46R30PA HP PAV GAMING 15-DK2053TX</v>
          </cell>
        </row>
        <row r="831">
          <cell r="N831" t="str">
            <v>46R31PA</v>
          </cell>
          <cell r="O831" t="str">
            <v>W10 2-2-2 MSOFC</v>
          </cell>
          <cell r="Q831">
            <v>432115033617</v>
          </cell>
          <cell r="R831" t="str">
            <v>HP-NB 46R31PA HP PAV GAMING 15-DK2054TX</v>
          </cell>
        </row>
        <row r="832">
          <cell r="N832" t="str">
            <v>46R32PA</v>
          </cell>
          <cell r="O832" t="str">
            <v>2-2-2 MSOFC</v>
          </cell>
          <cell r="Q832">
            <v>432115033618</v>
          </cell>
          <cell r="R832" t="str">
            <v>HP-NB 46R32PA HP PAV GAMING 15-EC2087AX</v>
          </cell>
        </row>
        <row r="833">
          <cell r="N833" t="str">
            <v>46R33PA</v>
          </cell>
          <cell r="O833" t="str">
            <v>W10 2-2-2 MSOFC</v>
          </cell>
          <cell r="Q833">
            <v>432115033619</v>
          </cell>
          <cell r="R833" t="str">
            <v>HP-NB 46R33PA HP PAV GAMING 15-EC2088AX</v>
          </cell>
        </row>
        <row r="834">
          <cell r="N834" t="str">
            <v>46R35PA</v>
          </cell>
          <cell r="Q834">
            <v>432115033620</v>
          </cell>
          <cell r="R834" t="str">
            <v>HP-NB 46R35PA HP PAVILION 15-EH1050AU</v>
          </cell>
        </row>
        <row r="835">
          <cell r="N835" t="str">
            <v>46R36PA</v>
          </cell>
          <cell r="O835" t="str">
            <v>W10 2-2-2 MSOFC</v>
          </cell>
          <cell r="Q835">
            <v>432115033621</v>
          </cell>
          <cell r="R835" t="str">
            <v>HP-NB 46R36PA OMEN 15-EN1042AX</v>
          </cell>
        </row>
        <row r="836">
          <cell r="N836" t="str">
            <v>46R38PA</v>
          </cell>
          <cell r="O836" t="str">
            <v>2-2-2 MSOFC</v>
          </cell>
          <cell r="Q836">
            <v>432115033622</v>
          </cell>
          <cell r="R836" t="str">
            <v>HP-NB 46R38PA 15S-DU3502TX</v>
          </cell>
        </row>
        <row r="837">
          <cell r="N837" t="str">
            <v>46R39PA</v>
          </cell>
          <cell r="O837" t="str">
            <v>2-2-2 MSOFC</v>
          </cell>
          <cell r="Q837">
            <v>432115033623</v>
          </cell>
          <cell r="R837" t="str">
            <v>HP-NB 46R39PA 15S-DU3503TX</v>
          </cell>
        </row>
        <row r="838">
          <cell r="N838" t="str">
            <v>46R40PA</v>
          </cell>
          <cell r="O838" t="str">
            <v>2-2-2 MSOFC</v>
          </cell>
          <cell r="Q838">
            <v>432115033624</v>
          </cell>
          <cell r="R838" t="str">
            <v>HP-NB 46R40PA 15S-EQ1521AU</v>
          </cell>
        </row>
        <row r="839">
          <cell r="N839" t="str">
            <v>46R41PA</v>
          </cell>
          <cell r="O839" t="str">
            <v>2-2-2 MSOFC</v>
          </cell>
          <cell r="Q839">
            <v>432115033625</v>
          </cell>
          <cell r="R839" t="str">
            <v>HP-NB 46R41PA 15S-EQ1522AU</v>
          </cell>
        </row>
        <row r="840">
          <cell r="N840" t="str">
            <v>48K23PA</v>
          </cell>
          <cell r="O840" t="str">
            <v>2-2-2 MSOFC</v>
          </cell>
          <cell r="Q840">
            <v>432115033626</v>
          </cell>
          <cell r="R840" t="str">
            <v>HP-NB 48K23PA HP PAV AERO 13-BE0050AU</v>
          </cell>
        </row>
        <row r="841">
          <cell r="N841" t="str">
            <v>48L35PA</v>
          </cell>
          <cell r="Q841">
            <v>432115033627</v>
          </cell>
          <cell r="R841" t="str">
            <v>HP-NB 48L35PA 14S-DK1505AU</v>
          </cell>
        </row>
        <row r="842">
          <cell r="N842" t="str">
            <v>494A3PA</v>
          </cell>
          <cell r="O842" t="str">
            <v>NFB FPR 2-2-2 MSOFC</v>
          </cell>
          <cell r="Q842">
            <v>432115033628</v>
          </cell>
          <cell r="R842" t="str">
            <v>HP-NB 494A3PA HP ENVY X360 13-AY0523AU</v>
          </cell>
        </row>
        <row r="843">
          <cell r="N843" t="str">
            <v>494A4PA</v>
          </cell>
          <cell r="O843" t="str">
            <v>NFB FPR 2-2-2 MSOFC</v>
          </cell>
          <cell r="Q843">
            <v>432115033629</v>
          </cell>
          <cell r="R843" t="str">
            <v>HP-NB 494A4PA HP ENVY X360 13-AY0525AU</v>
          </cell>
        </row>
        <row r="844">
          <cell r="N844" t="str">
            <v>494A8PA</v>
          </cell>
          <cell r="O844" t="str">
            <v>NFB FPR 2-2-2 MSOFC</v>
          </cell>
          <cell r="Q844">
            <v>432115033630</v>
          </cell>
          <cell r="R844" t="str">
            <v>HP-NB 494A8PA HP ENVY X360 13-AY0524AU</v>
          </cell>
        </row>
        <row r="845">
          <cell r="N845" t="str">
            <v>RTX20606GB 2-2-0 ACG, 264Z3PA</v>
          </cell>
          <cell r="O845" t="str">
            <v>FOR BOM</v>
          </cell>
          <cell r="Q845">
            <v>432115033828</v>
          </cell>
          <cell r="R845" t="str">
            <v>HP-NB 264Z3PA PAVGAMING 15-DK1098TX 16GB</v>
          </cell>
        </row>
        <row r="846">
          <cell r="N846" t="str">
            <v>2HU83AA</v>
          </cell>
          <cell r="Q846">
            <v>432117081151</v>
          </cell>
          <cell r="R846" t="str">
            <v>HP-NB 2HU83AA 200 WLESS MOUSE SILK GOLD</v>
          </cell>
        </row>
        <row r="847">
          <cell r="N847" t="str">
            <v>2HU84AA</v>
          </cell>
          <cell r="Q847">
            <v>432117081152</v>
          </cell>
          <cell r="R847" t="str">
            <v>HP-NB 2HU84AA 200WIRELESS MOUSE  PK SV</v>
          </cell>
        </row>
        <row r="848">
          <cell r="N848" t="str">
            <v>X7B04AA</v>
          </cell>
          <cell r="Q848">
            <v>521615142092</v>
          </cell>
          <cell r="R848" t="str">
            <v>HP-NB X7B04AA DOHA INEAR HEADSET 150 BK</v>
          </cell>
        </row>
        <row r="849">
          <cell r="N849" t="str">
            <v>2AP94AA</v>
          </cell>
          <cell r="Q849">
            <v>521615142093</v>
          </cell>
          <cell r="R849" t="str">
            <v>HP-NB 2AP94AA  2800 S HEADSET GOLD</v>
          </cell>
        </row>
        <row r="850">
          <cell r="N850" t="str">
            <v>1A858AA</v>
          </cell>
          <cell r="Q850">
            <v>521615142094</v>
          </cell>
          <cell r="R850" t="str">
            <v>HP-NB 1A858AA OMEN BLAST HEADSET</v>
          </cell>
        </row>
        <row r="851">
          <cell r="N851" t="str">
            <v>501X3PA</v>
          </cell>
          <cell r="Q851">
            <v>432115034001</v>
          </cell>
          <cell r="R851" t="str">
            <v>HP-NB 501X3PA ENVY X360 13-AY1001AU</v>
          </cell>
        </row>
        <row r="852">
          <cell r="N852" t="str">
            <v>58Y84PA</v>
          </cell>
          <cell r="Q852">
            <v>432115034003</v>
          </cell>
          <cell r="R852" t="str">
            <v>HP-NB 58Y84PA ENVY 15-EP1096TX</v>
          </cell>
        </row>
        <row r="853">
          <cell r="N853" t="str">
            <v>58Y70PA</v>
          </cell>
          <cell r="Q853">
            <v>432115034004</v>
          </cell>
          <cell r="R853" t="str">
            <v>HP-NB 58Y70PA ENVY 13-BA1521TX</v>
          </cell>
        </row>
        <row r="854">
          <cell r="N854" t="str">
            <v>58Y71PA</v>
          </cell>
          <cell r="Q854">
            <v>432115034005</v>
          </cell>
          <cell r="R854" t="str">
            <v>HP-NB 58Y71PA ENVY 13-BA1522TX</v>
          </cell>
        </row>
        <row r="855">
          <cell r="N855" t="str">
            <v>58Z06PA</v>
          </cell>
          <cell r="Q855">
            <v>432115034007</v>
          </cell>
          <cell r="R855" t="str">
            <v>HP-NB 58Z06PA PAV X360 14-DY1027TU</v>
          </cell>
        </row>
        <row r="856">
          <cell r="N856" t="str">
            <v>58Y73PA</v>
          </cell>
          <cell r="Q856">
            <v>432115034008</v>
          </cell>
          <cell r="R856" t="str">
            <v>HP-NB 58Y73PA PAV X360 14-DY1028TU</v>
          </cell>
        </row>
        <row r="857">
          <cell r="N857" t="str">
            <v>58Y89PA</v>
          </cell>
          <cell r="Q857">
            <v>432115034009</v>
          </cell>
          <cell r="R857" t="str">
            <v>HP-NB 58Y89PA VICTUS 16-E0215AX</v>
          </cell>
        </row>
        <row r="858">
          <cell r="N858" t="str">
            <v>58Y87PA</v>
          </cell>
          <cell r="Q858">
            <v>432115034010</v>
          </cell>
          <cell r="R858" t="str">
            <v>HP-NB 58Y87PA VICTUS 16-D0280TX</v>
          </cell>
        </row>
        <row r="859">
          <cell r="N859" t="str">
            <v>58Y90PA</v>
          </cell>
          <cell r="Q859">
            <v>432115034011</v>
          </cell>
          <cell r="R859" t="str">
            <v>HP-NB 58Y90PA VICTUS 16-E0217AX</v>
          </cell>
        </row>
        <row r="860">
          <cell r="N860" t="str">
            <v>58Y88PA</v>
          </cell>
          <cell r="Q860">
            <v>432115034012</v>
          </cell>
          <cell r="R860" t="str">
            <v>HP-NB 58Y88PA VICTUS 16-D0283TX</v>
          </cell>
        </row>
        <row r="861">
          <cell r="N861" t="str">
            <v>58Y83PA</v>
          </cell>
          <cell r="Q861">
            <v>432115034002</v>
          </cell>
          <cell r="R861" t="str">
            <v>HP-NB 58Y83PA ENVY 15-EP1095TX</v>
          </cell>
        </row>
        <row r="862">
          <cell r="N862" t="str">
            <v>58Y78PA</v>
          </cell>
          <cell r="Q862">
            <v>432115033992</v>
          </cell>
          <cell r="R862" t="str">
            <v>HP-NB 58Y78PA 14S-CF2538TU</v>
          </cell>
        </row>
        <row r="863">
          <cell r="N863" t="str">
            <v>58Z00PA</v>
          </cell>
          <cell r="Q863">
            <v>432115033993</v>
          </cell>
          <cell r="R863" t="str">
            <v>HP-NB 58Z00PA 15S-EQ2158AU</v>
          </cell>
        </row>
        <row r="864">
          <cell r="N864" t="str">
            <v>58Y85PA</v>
          </cell>
          <cell r="Q864">
            <v>432115033994</v>
          </cell>
          <cell r="R864" t="str">
            <v>HP-NB 58Y85PA 15S-FQ4033TU</v>
          </cell>
        </row>
        <row r="865">
          <cell r="N865" t="str">
            <v>58Z01PA</v>
          </cell>
          <cell r="Q865">
            <v>432115033995</v>
          </cell>
          <cell r="R865" t="str">
            <v>HP-NB 58Z01PA 15S-EQ2159AU</v>
          </cell>
        </row>
        <row r="866">
          <cell r="N866" t="str">
            <v>58Y82PA</v>
          </cell>
          <cell r="Q866">
            <v>432115033997</v>
          </cell>
          <cell r="R866" t="str">
            <v>HP-NB 58Y82PA PAV 15-EH1121AU</v>
          </cell>
        </row>
        <row r="867">
          <cell r="N867" t="str">
            <v>58Y81PA</v>
          </cell>
          <cell r="Q867">
            <v>432115033998</v>
          </cell>
          <cell r="R867" t="str">
            <v>HP-NB 58Y81PA PAV 15-EG1029TU</v>
          </cell>
        </row>
        <row r="868">
          <cell r="N868" t="str">
            <v>58Y72PA</v>
          </cell>
          <cell r="Q868">
            <v>432115033999</v>
          </cell>
          <cell r="R868" t="str">
            <v>HP-NB 58Y72PA PAV AERO13-BE0223AU</v>
          </cell>
        </row>
        <row r="869">
          <cell r="N869" t="str">
            <v>5C147PA</v>
          </cell>
          <cell r="Q869">
            <v>432115034000</v>
          </cell>
          <cell r="R869" t="str">
            <v>HP-NB 5C147PA ENVY X360 13-AY1053AU</v>
          </cell>
        </row>
        <row r="870">
          <cell r="N870" t="str">
            <v>4Z385PA</v>
          </cell>
          <cell r="Q870">
            <v>432115034173</v>
          </cell>
          <cell r="R870" t="str">
            <v>HP-NB 4Z385PA OMEN  16-B0144TX</v>
          </cell>
        </row>
        <row r="871">
          <cell r="N871" t="str">
            <v>4Z388PA</v>
          </cell>
          <cell r="Q871">
            <v>432115034174</v>
          </cell>
          <cell r="R871" t="str">
            <v>HP-NB 4Z388PA OMEN  16-C0168AX</v>
          </cell>
        </row>
        <row r="872">
          <cell r="N872" t="str">
            <v>58Y86PA</v>
          </cell>
          <cell r="Q872">
            <v>432115034175</v>
          </cell>
          <cell r="R872" t="str">
            <v>HP-NB 58Y86PA OMEN  16-B0174TX</v>
          </cell>
        </row>
        <row r="873">
          <cell r="N873" t="str">
            <v>58Z02PA</v>
          </cell>
          <cell r="Q873">
            <v>432115034176</v>
          </cell>
          <cell r="R873" t="str">
            <v>HP-NB 58Z02PA OMEN  16-C0183AX</v>
          </cell>
        </row>
        <row r="874">
          <cell r="N874" t="str">
            <v>5C148PA</v>
          </cell>
          <cell r="Q874">
            <v>432115034177</v>
          </cell>
          <cell r="R874" t="str">
            <v>HP-NB 5C148PA OMEN  16-B0175TX</v>
          </cell>
        </row>
        <row r="875">
          <cell r="N875" t="str">
            <v>2DR33AA</v>
          </cell>
          <cell r="Q875">
            <v>261216360630</v>
          </cell>
          <cell r="R875" t="str">
            <v>HP-NB 2DR33AA PAV POWER ADAPTER 150W</v>
          </cell>
        </row>
        <row r="876">
          <cell r="N876" t="str">
            <v>5LX63AA</v>
          </cell>
          <cell r="Q876">
            <v>432116090046</v>
          </cell>
          <cell r="R876" t="str">
            <v>HP-NB 5LX63AA ENVY USB-C HUB</v>
          </cell>
        </row>
        <row r="877">
          <cell r="N877" t="str">
            <v>6J595PA</v>
          </cell>
          <cell r="Q877">
            <v>432115034442</v>
          </cell>
          <cell r="R877" t="str">
            <v>HP-NB 6J595PA PAVX360 14-EK0039TU</v>
          </cell>
        </row>
        <row r="878">
          <cell r="N878" t="str">
            <v>6J599PA</v>
          </cell>
          <cell r="Q878">
            <v>432115034444</v>
          </cell>
          <cell r="R878" t="str">
            <v>HP-NB 6J599PA VICTUS 15-FB0037AX</v>
          </cell>
        </row>
        <row r="879">
          <cell r="N879" t="str">
            <v>6J5C6PA</v>
          </cell>
          <cell r="Q879">
            <v>432115034445</v>
          </cell>
          <cell r="R879" t="str">
            <v>HP-NB 6J5C6PA PAVILION 15-EG2039TX</v>
          </cell>
        </row>
        <row r="880">
          <cell r="N880" t="str">
            <v>6J5G3PA</v>
          </cell>
          <cell r="Q880">
            <v>432115034449</v>
          </cell>
          <cell r="R880" t="str">
            <v>HP-NB 6J5G3PA VICTUS 15-FB0041AX</v>
          </cell>
        </row>
        <row r="881">
          <cell r="N881" t="str">
            <v>6J5G7PA</v>
          </cell>
          <cell r="Q881">
            <v>432115034453</v>
          </cell>
          <cell r="R881" t="str">
            <v>HP-NB 6J5G7PA VICTUS 16-D1094TX</v>
          </cell>
        </row>
        <row r="882">
          <cell r="N882" t="str">
            <v>6J5G8PA</v>
          </cell>
          <cell r="Q882">
            <v>432115034454</v>
          </cell>
          <cell r="R882" t="str">
            <v>HP-NB 6J5G8PA OMEN 16-K0051TX</v>
          </cell>
        </row>
        <row r="883">
          <cell r="N883" t="str">
            <v>6J5H0PA</v>
          </cell>
          <cell r="Q883">
            <v>432115034456</v>
          </cell>
          <cell r="R883" t="str">
            <v>HP-NB 6J5H0PA OMEN 16-N0053AX</v>
          </cell>
        </row>
        <row r="884">
          <cell r="N884" t="str">
            <v>6J5M5PA</v>
          </cell>
          <cell r="Q884">
            <v>432115034457</v>
          </cell>
          <cell r="R884" t="str">
            <v>HP-NB 6J5M5PA ENVYX360 13-BF0046TU</v>
          </cell>
        </row>
        <row r="885">
          <cell r="N885" t="str">
            <v>6J9D3PA</v>
          </cell>
          <cell r="Q885">
            <v>432115034458</v>
          </cell>
          <cell r="R885" t="str">
            <v>HP-NB 6J9D3PA VICTUS 15-FB0035AX</v>
          </cell>
        </row>
        <row r="886">
          <cell r="N886" t="str">
            <v>6J5G1PA</v>
          </cell>
          <cell r="Q886">
            <v>432115034447</v>
          </cell>
          <cell r="R886" t="str">
            <v>HP-NB 6J5G1PA PAVILION 15-EH2029AU</v>
          </cell>
        </row>
        <row r="887">
          <cell r="N887" t="str">
            <v>6J5G2PA</v>
          </cell>
          <cell r="Q887">
            <v>432115034448</v>
          </cell>
          <cell r="R887" t="str">
            <v>HP-NB 6J5G2PA VICTUS 15-FA0040TX</v>
          </cell>
        </row>
        <row r="888">
          <cell r="N888" t="str">
            <v>79J53PA</v>
          </cell>
          <cell r="Q888">
            <v>432115034717</v>
          </cell>
          <cell r="R888" t="str">
            <v>HP-NB 79J53PA 14S-DQ3080TU</v>
          </cell>
        </row>
        <row r="889">
          <cell r="N889" t="str">
            <v>79J45PA</v>
          </cell>
          <cell r="Q889">
            <v>432115034725</v>
          </cell>
          <cell r="R889" t="str">
            <v>HP-NB 79J45PA PAV 14-DV2029TX</v>
          </cell>
        </row>
        <row r="890">
          <cell r="N890" t="str">
            <v>79J56PA</v>
          </cell>
          <cell r="Q890">
            <v>432115034727</v>
          </cell>
          <cell r="R890" t="str">
            <v>HP-NB 79J56PA PAV 15-EG2058TX</v>
          </cell>
        </row>
        <row r="891">
          <cell r="N891" t="str">
            <v>79J33PA</v>
          </cell>
          <cell r="Q891">
            <v>432115034728</v>
          </cell>
          <cell r="R891" t="str">
            <v>HP-NB 79J33PA PAV AERO 13-BE1074AU</v>
          </cell>
        </row>
        <row r="892">
          <cell r="N892" t="str">
            <v>79J34PA</v>
          </cell>
          <cell r="Q892">
            <v>432115034729</v>
          </cell>
          <cell r="R892" t="str">
            <v>HP-NB 79J34PA ENVY X360 13-BF0108TU</v>
          </cell>
        </row>
        <row r="893">
          <cell r="N893" t="str">
            <v>79J42PA</v>
          </cell>
          <cell r="Q893">
            <v>432115034730</v>
          </cell>
          <cell r="R893" t="str">
            <v>HP-NB 79J42PA ENVY X360 13-BF0109TU</v>
          </cell>
        </row>
        <row r="894">
          <cell r="N894" t="str">
            <v>79J43PA</v>
          </cell>
          <cell r="Q894">
            <v>432115034731</v>
          </cell>
          <cell r="R894" t="str">
            <v>HP-NB 79J43PA ENVY X360 13-BF0110TU</v>
          </cell>
        </row>
        <row r="895">
          <cell r="N895" t="str">
            <v>79J52PA</v>
          </cell>
          <cell r="Q895">
            <v>432115034734</v>
          </cell>
          <cell r="R895" t="str">
            <v>HP-NB 79J52PA PAV X360 14-EK0123TU</v>
          </cell>
        </row>
        <row r="896">
          <cell r="N896" t="str">
            <v>79J59PA</v>
          </cell>
          <cell r="Q896">
            <v>432115034735</v>
          </cell>
          <cell r="R896" t="str">
            <v>HP-NB 79J59PA VICTUS 15-FB0089AX</v>
          </cell>
        </row>
        <row r="897">
          <cell r="N897" t="str">
            <v>79J60PA</v>
          </cell>
          <cell r="Q897">
            <v>432115034736</v>
          </cell>
          <cell r="R897" t="str">
            <v>HP-NB 79J60PA VICTUS 15-FB0090AX</v>
          </cell>
        </row>
        <row r="898">
          <cell r="N898" t="str">
            <v>79J58PA</v>
          </cell>
          <cell r="Q898">
            <v>432115034737</v>
          </cell>
          <cell r="R898" t="str">
            <v>HP-NB 79J58PA VICTUS 15-FA0098TX</v>
          </cell>
        </row>
        <row r="899">
          <cell r="N899" t="str">
            <v>79J67PA</v>
          </cell>
          <cell r="Q899">
            <v>432115034740</v>
          </cell>
          <cell r="R899" t="str">
            <v>HP-NB 79J67PA OMEN 16-K0097TX</v>
          </cell>
        </row>
        <row r="900">
          <cell r="N900" t="str">
            <v>79J69PA</v>
          </cell>
          <cell r="Q900">
            <v>432115034741</v>
          </cell>
          <cell r="R900" t="str">
            <v>HP-NB 79J69PA OMEN 16-N0081AX</v>
          </cell>
        </row>
        <row r="901">
          <cell r="N901" t="str">
            <v>79J68PA</v>
          </cell>
          <cell r="Q901">
            <v>432115034742</v>
          </cell>
          <cell r="R901" t="str">
            <v>HP-NB 79J68PA OMEN 16-K0098TX</v>
          </cell>
        </row>
        <row r="902">
          <cell r="N902" t="str">
            <v>86J53PA</v>
          </cell>
          <cell r="Q902">
            <v>432115035008</v>
          </cell>
          <cell r="R902" t="str">
            <v>HP-NB 86J53PA PAV 15-EG3026TX</v>
          </cell>
        </row>
        <row r="903">
          <cell r="N903" t="str">
            <v>86J72PA</v>
          </cell>
          <cell r="Q903">
            <v>432115035012</v>
          </cell>
          <cell r="R903" t="str">
            <v>HP-NB 86J72PA ENVY 16-H1016TX</v>
          </cell>
        </row>
        <row r="904">
          <cell r="N904" t="str">
            <v>86J67PA</v>
          </cell>
          <cell r="Q904">
            <v>432115035015</v>
          </cell>
          <cell r="R904" t="str">
            <v>HP-NB 86J67PA VICTUS 15-FB0125AX</v>
          </cell>
        </row>
        <row r="905">
          <cell r="N905" t="str">
            <v>86J78PA</v>
          </cell>
          <cell r="Q905">
            <v>432115035022</v>
          </cell>
          <cell r="R905" t="str">
            <v>HP-NB 86J78PA OMEN 16-WF0071TX</v>
          </cell>
        </row>
        <row r="906">
          <cell r="N906" t="str">
            <v>A46S5PA</v>
          </cell>
          <cell r="Q906">
            <v>432115035720</v>
          </cell>
          <cell r="R906" t="str">
            <v>HP-NB A46S5PA ENVY X360 14-FC0133TU U7</v>
          </cell>
        </row>
        <row r="907">
          <cell r="N907" t="str">
            <v>A29KBPA</v>
          </cell>
          <cell r="Q907">
            <v>432115035728</v>
          </cell>
          <cell r="R907" t="str">
            <v>HP-NB A29KBPA VICTUS 16-S1092AX R7</v>
          </cell>
        </row>
        <row r="908">
          <cell r="N908" t="str">
            <v>A29KCPA</v>
          </cell>
          <cell r="Q908">
            <v>432115035729</v>
          </cell>
          <cell r="R908" t="str">
            <v>HP-NB A29KCPA VICTUS 16-S1093AX R7</v>
          </cell>
        </row>
        <row r="909">
          <cell r="N909" t="str">
            <v>A29K6PA</v>
          </cell>
          <cell r="Q909">
            <v>432115035730</v>
          </cell>
          <cell r="R909" t="str">
            <v>HP-NB A29K6PA VICTUS 16-R1167TX I7</v>
          </cell>
        </row>
        <row r="910">
          <cell r="N910" t="str">
            <v>A29K7PA</v>
          </cell>
          <cell r="Q910">
            <v>432115035731</v>
          </cell>
          <cell r="R910" t="str">
            <v>HP-NB A29K7PA VICTUS 16-R1168TX I7</v>
          </cell>
        </row>
        <row r="911">
          <cell r="N911" t="str">
            <v>A46S4PA</v>
          </cell>
          <cell r="Q911">
            <v>432115035717</v>
          </cell>
          <cell r="R911" t="str">
            <v>HP-NB A46S4PA ENVY X360 14-FA0071AU R7</v>
          </cell>
        </row>
        <row r="912">
          <cell r="N912" t="str">
            <v>355X6PA</v>
          </cell>
          <cell r="Q912">
            <v>432115033448</v>
          </cell>
          <cell r="R912" t="str">
            <v>HP-NB 355X6PA 14S-DQ2090TU I5-1135G7</v>
          </cell>
        </row>
        <row r="913">
          <cell r="N913" t="str">
            <v>355X7PA</v>
          </cell>
          <cell r="Q913">
            <v>432115033449</v>
          </cell>
          <cell r="R913" t="str">
            <v>HP-NB 355X7PA 15S-DU3051TX I5-1135G7</v>
          </cell>
        </row>
        <row r="914">
          <cell r="N914" t="str">
            <v>355X8PA</v>
          </cell>
          <cell r="Q914">
            <v>432115033450</v>
          </cell>
          <cell r="R914" t="str">
            <v>HP-NB 355X8PA 15S-DU3052TX I7-1165G7</v>
          </cell>
        </row>
        <row r="915">
          <cell r="N915" t="str">
            <v>37N85PA</v>
          </cell>
          <cell r="Q915">
            <v>432115033451</v>
          </cell>
          <cell r="R915" t="str">
            <v>HP-NB 37N85PA 14S-CF2500TU I3-10110U</v>
          </cell>
        </row>
        <row r="916">
          <cell r="N916" t="str">
            <v>38U32PA</v>
          </cell>
          <cell r="Q916">
            <v>432115033452</v>
          </cell>
          <cell r="R916" t="str">
            <v>HP-NB 38U32PA 14S-CF2501TU I3-10110U</v>
          </cell>
        </row>
        <row r="917">
          <cell r="N917" t="str">
            <v>2-2-0 W10 ACG 380L9PA</v>
          </cell>
          <cell r="Q917">
            <v>432115033453</v>
          </cell>
          <cell r="R917" t="str">
            <v>HP-NB 380L9PA PAV GAMING 15-EC1500AX</v>
          </cell>
        </row>
        <row r="918">
          <cell r="N918" t="str">
            <v>L6V67AA</v>
          </cell>
          <cell r="Q918">
            <v>531217060133</v>
          </cell>
          <cell r="R918" t="str">
            <v>HP BUNDLE L6V67AA CARRY BAG GRAY</v>
          </cell>
        </row>
        <row r="919">
          <cell r="N919" t="str">
            <v>K0B38AA</v>
          </cell>
          <cell r="Q919">
            <v>531217060134</v>
          </cell>
          <cell r="R919" t="str">
            <v>HP BUNDLE K0B38AA TOPLOAD BAG</v>
          </cell>
        </row>
        <row r="920">
          <cell r="N920" t="str">
            <v>WIN 2017 NSV 2-2-0</v>
          </cell>
          <cell r="Q920">
            <v>432115031846</v>
          </cell>
          <cell r="R920" t="str">
            <v>HP 2LS87PA ENVY 13-AD105TU I7-8550U</v>
          </cell>
        </row>
        <row r="921">
          <cell r="N921" t="str">
            <v>SILVER 2-2-0</v>
          </cell>
          <cell r="Q921">
            <v>432115031850</v>
          </cell>
          <cell r="R921" t="str">
            <v>HP 3DJ77PA ENVY 13-AD143TX I7-8550U</v>
          </cell>
        </row>
        <row r="922">
          <cell r="N922" t="str">
            <v>NO ODD SILVER 2-2-0</v>
          </cell>
          <cell r="Q922">
            <v>432115031851</v>
          </cell>
          <cell r="R922" t="str">
            <v>HP 3FB21PA ENVY 13-AD155TX I5-8250U</v>
          </cell>
        </row>
        <row r="923">
          <cell r="N923" t="str">
            <v>AC BT NSV FHD NT 2-2-0</v>
          </cell>
          <cell r="Q923">
            <v>432115031858</v>
          </cell>
          <cell r="R923" t="str">
            <v>HP 3FQ35PA ENVY 13-AD159TX I7-8550U</v>
          </cell>
        </row>
        <row r="924">
          <cell r="N924" t="str">
            <v>GOLD</v>
          </cell>
          <cell r="Q924">
            <v>432115032163</v>
          </cell>
          <cell r="R924" t="str">
            <v>HP 5JN55PA PAVILION 15-CS1041TX I5-8265U</v>
          </cell>
        </row>
        <row r="925">
          <cell r="N925" t="str">
            <v>5RL61PA</v>
          </cell>
          <cell r="Q925">
            <v>432115032173</v>
          </cell>
          <cell r="R925" t="str">
            <v>HP 5RL61PA 14-CM0015AX RYZEN 3 DISC</v>
          </cell>
        </row>
        <row r="926">
          <cell r="N926" t="str">
            <v>WIN 10 GOLD</v>
          </cell>
          <cell r="Q926">
            <v>432115032160</v>
          </cell>
          <cell r="R926" t="str">
            <v>HP 5HW19PA PAVILION X360 14-CD1037TX</v>
          </cell>
        </row>
        <row r="927">
          <cell r="N927" t="str">
            <v>DARK ASH SILVER</v>
          </cell>
          <cell r="Q927">
            <v>432115032168</v>
          </cell>
          <cell r="R927" t="str">
            <v>HP 5RF77PA ENVY X360 13-AG0038AU</v>
          </cell>
        </row>
        <row r="928">
          <cell r="N928" t="str">
            <v>IPS WITH 60HZ</v>
          </cell>
          <cell r="Q928">
            <v>432115032169</v>
          </cell>
          <cell r="R928" t="str">
            <v>HP 5RF80PA PAVILION GAMING 15-CX0198TX</v>
          </cell>
        </row>
        <row r="929">
          <cell r="N929" t="str">
            <v>DARK ASH SILVER</v>
          </cell>
          <cell r="Q929">
            <v>432115032170</v>
          </cell>
          <cell r="R929" t="str">
            <v>HP 5RF89PA PAVILION GAMING 15-CX0199TX</v>
          </cell>
        </row>
        <row r="930">
          <cell r="N930" t="str">
            <v>GOLD</v>
          </cell>
          <cell r="Q930">
            <v>432115032178</v>
          </cell>
          <cell r="R930" t="str">
            <v>HP 5SB93PA PAVILION 14-CE1042TX I7-8565U</v>
          </cell>
        </row>
        <row r="931">
          <cell r="N931" t="str">
            <v>8TS50PA</v>
          </cell>
          <cell r="Q931">
            <v>432115032556</v>
          </cell>
          <cell r="R931" t="str">
            <v>HP 8TS50PA 14S-DQ1037TU I5-1035G1</v>
          </cell>
        </row>
        <row r="932">
          <cell r="N932" t="str">
            <v>8VQ15PA</v>
          </cell>
          <cell r="Q932">
            <v>432115032557</v>
          </cell>
          <cell r="R932" t="str">
            <v>HP 8VQ15PA 14S-DK0121AU RYZEN 3</v>
          </cell>
        </row>
        <row r="933">
          <cell r="N933" t="str">
            <v>X0R83AA</v>
          </cell>
          <cell r="Q933">
            <v>531217060185</v>
          </cell>
          <cell r="R933" t="str">
            <v>HP BUNDLE X0R83AA ODYSSEY BACKPACK BK/RD</v>
          </cell>
        </row>
        <row r="934">
          <cell r="N934" t="str">
            <v>SSD GTX1650 4GB 2-2-0 AC+BT ACID GREEN</v>
          </cell>
          <cell r="O934" t="str">
            <v>265A6PA</v>
          </cell>
          <cell r="Q934">
            <v>432115033177</v>
          </cell>
          <cell r="R934" t="str">
            <v>HP-NB 265A6PA PAV GAMING 15-EC0109AX</v>
          </cell>
        </row>
        <row r="935">
          <cell r="N935" t="str">
            <v>SSD GTX1660TI 6GB 2-2-0  WIFI6AX201AX  ACID GREEN</v>
          </cell>
          <cell r="O935" t="str">
            <v>264Z2PA</v>
          </cell>
          <cell r="Q935">
            <v>432115033178</v>
          </cell>
          <cell r="R935" t="str">
            <v>HP-NB 264Z2PA PAV GAMING 15-DK1097TX</v>
          </cell>
        </row>
        <row r="936">
          <cell r="N936" t="str">
            <v xml:space="preserve"> RTX2060 6GB 2-2-0  WIFI6AX201AX  ACID GREEN</v>
          </cell>
          <cell r="O936" t="str">
            <v>264Z3PA</v>
          </cell>
          <cell r="Q936">
            <v>432115033179</v>
          </cell>
          <cell r="R936" t="str">
            <v>HP-NB 264Z3PA PAV GAMING 15-DK1098TX</v>
          </cell>
        </row>
        <row r="937">
          <cell r="N937" t="str">
            <v>6GB 2-2-0 WIFI6AX201AX SDB</v>
          </cell>
          <cell r="O937" t="str">
            <v>264Z5PA</v>
          </cell>
          <cell r="Q937">
            <v>432115033180</v>
          </cell>
          <cell r="R937" t="str">
            <v>HP-NB 264Z5PA OMEN 15-EK0074TX I7-10750H</v>
          </cell>
        </row>
        <row r="938">
          <cell r="N938" t="str">
            <v>6GB 2-2-0 WIFI6AX201AX SDB</v>
          </cell>
          <cell r="O938" t="str">
            <v>264Z6PA</v>
          </cell>
          <cell r="Q938">
            <v>432115033181</v>
          </cell>
          <cell r="R938" t="str">
            <v>HP-NB 264Z6PA OMEN 15-EK0075TX I7-10750H</v>
          </cell>
        </row>
        <row r="939">
          <cell r="N939" t="str">
            <v>2070 8GB 2-2-0 WIFI6AX201AX SDB</v>
          </cell>
          <cell r="O939" t="str">
            <v>264Z7PA</v>
          </cell>
          <cell r="Q939">
            <v>432115033182</v>
          </cell>
          <cell r="R939" t="str">
            <v>HP-NB 264Z7PA OMEN 15-EK0076TX I7-10750H</v>
          </cell>
        </row>
        <row r="940">
          <cell r="N940" t="str">
            <v>2-2-0 AC BT NSV</v>
          </cell>
          <cell r="O940" t="str">
            <v>18J05PA</v>
          </cell>
          <cell r="Q940">
            <v>432115033183</v>
          </cell>
          <cell r="R940" t="str">
            <v>HP-NB 18J05PA ENVY 13-AR0001AX I5-10210U</v>
          </cell>
        </row>
        <row r="941">
          <cell r="N941" t="str">
            <v>2-2-0 WIN10 AC BT NSV</v>
          </cell>
          <cell r="O941" t="str">
            <v>18J07PA</v>
          </cell>
          <cell r="Q941">
            <v>432115033184</v>
          </cell>
          <cell r="R941" t="str">
            <v>HP-NB 18J07PA ENVY 13-AR0002AX I7-10510U</v>
          </cell>
        </row>
        <row r="942">
          <cell r="N942" t="str">
            <v>1R8J4PA</v>
          </cell>
          <cell r="Q942">
            <v>432115033060</v>
          </cell>
          <cell r="R942" t="str">
            <v>HP-NB 1R8J4PA 15S-EQ1117AU R5-4500U RGD</v>
          </cell>
        </row>
        <row r="943">
          <cell r="N943" t="str">
            <v>1R8J5PA</v>
          </cell>
          <cell r="Q943">
            <v>432115033061</v>
          </cell>
          <cell r="R943" t="str">
            <v>HP-NB 1R8J5PA 15S-EQ10118TU R7-4700U RGD</v>
          </cell>
        </row>
        <row r="944">
          <cell r="N944" t="str">
            <v>207W5PA</v>
          </cell>
          <cell r="Q944">
            <v>432115033062</v>
          </cell>
          <cell r="R944" t="str">
            <v>HP-NB 207W5PA 14S-DK1130AU R3 LFH</v>
          </cell>
        </row>
        <row r="945">
          <cell r="N945" t="str">
            <v>20X09PA</v>
          </cell>
          <cell r="Q945">
            <v>432115033063</v>
          </cell>
          <cell r="R945" t="str">
            <v>HP-NB 20X09PA 14S-CF3081TU I5 LFH</v>
          </cell>
        </row>
        <row r="946">
          <cell r="N946" t="str">
            <v>20X08PA</v>
          </cell>
          <cell r="Q946">
            <v>432115033064</v>
          </cell>
          <cell r="R946" t="str">
            <v>HP-NB 20X08PA 14S-CF3080TU I3 LFH</v>
          </cell>
        </row>
        <row r="947">
          <cell r="N947" t="str">
            <v>20Y10PA</v>
          </cell>
          <cell r="Q947">
            <v>432115033065</v>
          </cell>
          <cell r="R947" t="str">
            <v>HP-NB 20Y10PA 14S-FQ0018AU R5 LFH</v>
          </cell>
        </row>
        <row r="948">
          <cell r="N948" t="str">
            <v>20X11PA</v>
          </cell>
          <cell r="Q948">
            <v>432115033066</v>
          </cell>
          <cell r="R948" t="str">
            <v>HP-NB 20X11PA 14S-FQ0019AU R7 LFH</v>
          </cell>
        </row>
        <row r="949">
          <cell r="N949" t="str">
            <v>20X10PA</v>
          </cell>
          <cell r="Q949">
            <v>432115033067</v>
          </cell>
          <cell r="R949" t="str">
            <v>HP-NB 20X10PA 15S-DU2058TX I7 LFH</v>
          </cell>
        </row>
        <row r="950">
          <cell r="N950" t="str">
            <v>U0VR7E</v>
          </cell>
          <cell r="Q950">
            <v>811118180180</v>
          </cell>
          <cell r="R950" t="str">
            <v>HP U0VR7E CAREPACK EXTENDED WARRANTY 3YR</v>
          </cell>
        </row>
        <row r="951">
          <cell r="N951" t="str">
            <v>2J9U7PA</v>
          </cell>
          <cell r="Q951">
            <v>432115033307</v>
          </cell>
          <cell r="R951" t="str">
            <v>HP-NB 2J9U7PA PAVILION 14-DV0062TX</v>
          </cell>
        </row>
        <row r="952">
          <cell r="N952" t="str">
            <v>2J9U8PA</v>
          </cell>
          <cell r="Q952">
            <v>432115033308</v>
          </cell>
          <cell r="R952" t="str">
            <v>HP-NB 2J9U8PA PAVILION 14-DV0063TX</v>
          </cell>
        </row>
        <row r="953">
          <cell r="N953" t="str">
            <v>2J9V2PA</v>
          </cell>
          <cell r="Q953">
            <v>432115033309</v>
          </cell>
          <cell r="R953" t="str">
            <v>HP-NB 2J9V2PA PAVILION 15-EH0091AU</v>
          </cell>
        </row>
        <row r="954">
          <cell r="N954" t="str">
            <v>2J9V0PA</v>
          </cell>
          <cell r="Q954">
            <v>432115033310</v>
          </cell>
          <cell r="R954" t="str">
            <v>HP-NB 2J9V0PA PAVILION 15-EG0083TX</v>
          </cell>
        </row>
        <row r="955">
          <cell r="N955" t="str">
            <v>2J9Y0PA</v>
          </cell>
          <cell r="Q955">
            <v>432115033311</v>
          </cell>
          <cell r="R955" t="str">
            <v>HP-NB 2J9Y0PA ENVY X360 13-AY0119AU</v>
          </cell>
        </row>
        <row r="956">
          <cell r="N956" t="str">
            <v>2J9Y1PA</v>
          </cell>
          <cell r="Q956">
            <v>432115033312</v>
          </cell>
          <cell r="R956" t="str">
            <v>HP-NB 2J9Y1PA ENVY X360 13-AY0120AU</v>
          </cell>
        </row>
        <row r="957">
          <cell r="N957" t="str">
            <v>2J9Y3PA</v>
          </cell>
          <cell r="Q957">
            <v>432115033313</v>
          </cell>
          <cell r="R957" t="str">
            <v>HP-NB 2J9Y3PA ENVY X360 13-AY0121AU</v>
          </cell>
        </row>
        <row r="958">
          <cell r="N958" t="str">
            <v>2J9Y4PA</v>
          </cell>
          <cell r="Q958">
            <v>432115033314</v>
          </cell>
          <cell r="R958" t="str">
            <v>HP-NB 2J9Y4PA ENVY 15-EP0151TX I7-10750H</v>
          </cell>
        </row>
        <row r="959">
          <cell r="N959" t="str">
            <v>2Q4L8PA</v>
          </cell>
          <cell r="Q959">
            <v>432115033315</v>
          </cell>
          <cell r="R959" t="str">
            <v>HP-NB 2Q4L8PA ENVY 13-BA1024TX I5-1135G7</v>
          </cell>
        </row>
        <row r="960">
          <cell r="N960" t="str">
            <v>2Q4M0PA</v>
          </cell>
          <cell r="Q960">
            <v>432115033316</v>
          </cell>
          <cell r="R960" t="str">
            <v>HP-NB 2Q4M0PA ENVY 13-BA1025TX I7-1165G7</v>
          </cell>
        </row>
        <row r="961">
          <cell r="N961" t="str">
            <v>7XG61AA</v>
          </cell>
          <cell r="Q961">
            <v>531217060223</v>
          </cell>
          <cell r="R961" t="str">
            <v>HP-NB BUNDLE 7XG61AA ODYSSEY BKPK</v>
          </cell>
        </row>
        <row r="962">
          <cell r="N962" t="str">
            <v>U8LJ5E</v>
          </cell>
          <cell r="Q962">
            <v>811118180192</v>
          </cell>
          <cell r="R962" t="str">
            <v>HP-NB U8LJ5E CAREPACKEXTENDEDWARRANTY2YR</v>
          </cell>
        </row>
        <row r="963">
          <cell r="N963" t="str">
            <v>1A213AA</v>
          </cell>
          <cell r="Q963">
            <v>531217060229</v>
          </cell>
          <cell r="R963" t="str">
            <v>HP-NB BUNDLE 1A213AA RNW TOPL</v>
          </cell>
        </row>
        <row r="964">
          <cell r="N964" t="str">
            <v>7MT84AA</v>
          </cell>
          <cell r="Q964">
            <v>531217060230</v>
          </cell>
          <cell r="R964" t="str">
            <v>HP-NB BUNDLE 7MT84AA OMEN TACT BKPK</v>
          </cell>
        </row>
        <row r="965">
          <cell r="N965" t="str">
            <v>6VY96AA</v>
          </cell>
          <cell r="Q965">
            <v>432117081143</v>
          </cell>
          <cell r="R965" t="str">
            <v>HP-NB BUNDLE 6VY96AA WIRED MOUSE100</v>
          </cell>
        </row>
        <row r="966">
          <cell r="N966" t="str">
            <v>4C7S7PA</v>
          </cell>
          <cell r="Q966">
            <v>432115033776</v>
          </cell>
          <cell r="R966" t="str">
            <v>HP-NB 4C7S7PA 14S-CF2525TU I3-10110U</v>
          </cell>
        </row>
        <row r="967">
          <cell r="N967" t="str">
            <v>46R45PA</v>
          </cell>
          <cell r="Q967">
            <v>432115033599</v>
          </cell>
          <cell r="R967" t="str">
            <v>HP-NB 46R45PA 15S-FQ2552TU</v>
          </cell>
        </row>
        <row r="968">
          <cell r="N968" t="str">
            <v>490A2PA</v>
          </cell>
          <cell r="Q968">
            <v>432115033600</v>
          </cell>
          <cell r="R968" t="str">
            <v>HP-NB 490A2PA 14S-CF2522TU</v>
          </cell>
        </row>
        <row r="969">
          <cell r="N969" t="str">
            <v>490A3PA</v>
          </cell>
          <cell r="Q969">
            <v>432115033601</v>
          </cell>
          <cell r="R969" t="str">
            <v>HP-NB 490A3PA 14S-CF2524TU</v>
          </cell>
        </row>
        <row r="970">
          <cell r="N970" t="str">
            <v>U0H90E</v>
          </cell>
          <cell r="Q970">
            <v>811118180203</v>
          </cell>
          <cell r="R970" t="str">
            <v>HP-NB U0H90E CAREPACKEXTENDEDWARRANTY3YR</v>
          </cell>
        </row>
        <row r="971">
          <cell r="N971" t="str">
            <v>CANVIO SLIM USB 3.0 BLACK</v>
          </cell>
          <cell r="O971" t="str">
            <v>AUTO BACKUP AND PASSWORD SOFTWARE</v>
          </cell>
          <cell r="Q971">
            <v>432115033658</v>
          </cell>
          <cell r="R971" t="str">
            <v>HP-NB TOSH HDTD320AK3EA 2.5 2TBSLIMBKFOC</v>
          </cell>
        </row>
        <row r="972">
          <cell r="N972" t="str">
            <v>4Z387PA</v>
          </cell>
          <cell r="Q972">
            <v>432115033847</v>
          </cell>
          <cell r="R972" t="str">
            <v>HP 4Z387PA OMEN 16-C0167AX R5-5600H</v>
          </cell>
        </row>
        <row r="973">
          <cell r="N973" t="str">
            <v>4Z384PA</v>
          </cell>
          <cell r="Q973">
            <v>432115033848</v>
          </cell>
          <cell r="R973" t="str">
            <v>HP 4Z384PA OMEN 16-B0143TX I5-11400H</v>
          </cell>
        </row>
        <row r="974">
          <cell r="N974" t="str">
            <v>4Z386PA</v>
          </cell>
          <cell r="Q974">
            <v>432115033849</v>
          </cell>
          <cell r="R974" t="str">
            <v>HP 4Z386PA OMEN 16-B0145TX I7-11800H</v>
          </cell>
        </row>
        <row r="975">
          <cell r="N975" t="str">
            <v>4Z388PA</v>
          </cell>
          <cell r="Q975">
            <v>432115033850</v>
          </cell>
          <cell r="R975" t="str">
            <v>HP 4Z388PA OMEN 16-C0168AX R7-5800H</v>
          </cell>
        </row>
        <row r="976">
          <cell r="N976" t="str">
            <v>4Z385PA</v>
          </cell>
          <cell r="Q976">
            <v>432115033851</v>
          </cell>
          <cell r="R976" t="str">
            <v>HP 4Z385PA OMEN 16-B0144TX I7-11800H</v>
          </cell>
        </row>
        <row r="977">
          <cell r="N977" t="str">
            <v>1R8J6PA</v>
          </cell>
          <cell r="O977" t="str">
            <v>FOR BOM</v>
          </cell>
          <cell r="Q977">
            <v>432115033814</v>
          </cell>
          <cell r="R977" t="str">
            <v>HP-NB 1R8J6PA 14S-CF2042TU N5030 SV 8GB</v>
          </cell>
        </row>
        <row r="978">
          <cell r="N978" t="str">
            <v>M471A1G44AB0-CWE</v>
          </cell>
          <cell r="Q978">
            <v>432018032371</v>
          </cell>
          <cell r="R978" t="str">
            <v>HP-NB BUNDLE M471A1G44AB0-CWE 8GB RAM</v>
          </cell>
        </row>
        <row r="979">
          <cell r="N979" t="str">
            <v>M471A1G44AB0-CWE</v>
          </cell>
          <cell r="Q979">
            <v>432018032391</v>
          </cell>
          <cell r="R979" t="str">
            <v>HP-NB M471A1G44AB0-CWE 8GB RAM FOC</v>
          </cell>
        </row>
        <row r="980">
          <cell r="N980" t="str">
            <v>665C0PA</v>
          </cell>
          <cell r="Q980">
            <v>432115034294</v>
          </cell>
          <cell r="R980" t="str">
            <v>HP-NB 665C0PA 14S-DQ2616TU</v>
          </cell>
        </row>
        <row r="981">
          <cell r="N981" t="str">
            <v>680B4PA</v>
          </cell>
          <cell r="Q981">
            <v>432115034296</v>
          </cell>
          <cell r="R981" t="str">
            <v>HP-NB 680B4PA OMEN 16-B0181TX</v>
          </cell>
        </row>
        <row r="982">
          <cell r="N982" t="str">
            <v>680B5PA</v>
          </cell>
          <cell r="Q982">
            <v>432115034297</v>
          </cell>
          <cell r="R982" t="str">
            <v>HP-NB 680B5PA OMEN 16-B0182TX</v>
          </cell>
        </row>
        <row r="983">
          <cell r="N983" t="str">
            <v>680B6PA</v>
          </cell>
          <cell r="Q983">
            <v>432115034298</v>
          </cell>
          <cell r="R983" t="str">
            <v>HP-NB 680B6PA OMEN 16-B0183TX</v>
          </cell>
        </row>
        <row r="984">
          <cell r="N984" t="str">
            <v>680B7PA</v>
          </cell>
          <cell r="Q984">
            <v>432115034299</v>
          </cell>
          <cell r="R984" t="str">
            <v>HP-NB 680B7PA OMEN 16-C0189AX</v>
          </cell>
        </row>
        <row r="985">
          <cell r="N985" t="str">
            <v>6J584PA</v>
          </cell>
          <cell r="Q985">
            <v>432115034487</v>
          </cell>
          <cell r="R985" t="str">
            <v>HP-NB 6J584PA PAVILION AERO 13-BE1027AU</v>
          </cell>
        </row>
        <row r="986">
          <cell r="N986" t="str">
            <v>6J585PA</v>
          </cell>
          <cell r="Q986">
            <v>432115034488</v>
          </cell>
          <cell r="R986" t="str">
            <v>HP-NB 6J585PA ENVYX360 13-BF0044TU</v>
          </cell>
        </row>
        <row r="987">
          <cell r="N987" t="str">
            <v>6J586PA</v>
          </cell>
          <cell r="Q987">
            <v>432115034489</v>
          </cell>
          <cell r="R987" t="str">
            <v>HP-NB 6J586PA ENVYX360 13-BF0045TU</v>
          </cell>
        </row>
        <row r="988">
          <cell r="N988" t="str">
            <v>6J588PA</v>
          </cell>
          <cell r="Q988">
            <v>432115034491</v>
          </cell>
          <cell r="R988" t="str">
            <v>HP-NB 6J588PA PAVILION 14-DV2022TX</v>
          </cell>
        </row>
        <row r="989">
          <cell r="N989" t="str">
            <v>6J594PA</v>
          </cell>
          <cell r="Q989">
            <v>432115034493</v>
          </cell>
          <cell r="R989" t="str">
            <v>HP-NB 6J594PA PAVX360 14-EK0038TU</v>
          </cell>
        </row>
        <row r="990">
          <cell r="N990" t="str">
            <v>7Q7H5PA</v>
          </cell>
          <cell r="Q990">
            <v>432115034836</v>
          </cell>
          <cell r="R990" t="str">
            <v>HP-NB 7Q7H5PA 14S-DQ3095TU</v>
          </cell>
        </row>
        <row r="991">
          <cell r="N991" t="str">
            <v>7Q7H6PA</v>
          </cell>
          <cell r="Q991">
            <v>432115034837</v>
          </cell>
          <cell r="R991" t="str">
            <v>HP-NB 7Q7H6PA 14S-DQ3096TU</v>
          </cell>
        </row>
        <row r="992">
          <cell r="N992" t="str">
            <v>7Q7J1PA</v>
          </cell>
          <cell r="Q992">
            <v>432115034839</v>
          </cell>
          <cell r="R992" t="str">
            <v>HP-NB 7Q7J1PA 15S-FQ2728TU</v>
          </cell>
        </row>
        <row r="993">
          <cell r="N993" t="str">
            <v>7Q7J3PA</v>
          </cell>
          <cell r="Q993">
            <v>432115034843</v>
          </cell>
          <cell r="R993" t="str">
            <v>HP-NB 7Q7J3PA 15S-FQ4069TU</v>
          </cell>
        </row>
        <row r="994">
          <cell r="N994" t="str">
            <v>81N99PA</v>
          </cell>
          <cell r="Q994">
            <v>432115034912</v>
          </cell>
          <cell r="R994" t="str">
            <v>HP-NB 81N99PA VICTUS 15-FA0152TX</v>
          </cell>
        </row>
        <row r="995">
          <cell r="N995" t="str">
            <v>843Q2PA</v>
          </cell>
          <cell r="Q995">
            <v>432115034949</v>
          </cell>
          <cell r="R995" t="str">
            <v>HP-NB 843Q2PA 15S-EQ3082AU</v>
          </cell>
        </row>
        <row r="996">
          <cell r="N996" t="str">
            <v>843Q1PA</v>
          </cell>
          <cell r="Q996">
            <v>432115034950</v>
          </cell>
          <cell r="R996" t="str">
            <v>HP-NB 843Q1PA VICTUS 15-FB0124AX</v>
          </cell>
        </row>
        <row r="997">
          <cell r="N997" t="str">
            <v>8W8R5PA</v>
          </cell>
          <cell r="Q997">
            <v>432115035259</v>
          </cell>
          <cell r="R997" t="str">
            <v>HP-NB 8W8R5PA 15S-FQ5216TU</v>
          </cell>
        </row>
        <row r="998">
          <cell r="N998" t="str">
            <v>9P1S2PA</v>
          </cell>
          <cell r="Q998">
            <v>432115035470</v>
          </cell>
          <cell r="R998" t="str">
            <v>HP-NB 9P1S2PA 15S-FQ5337TU</v>
          </cell>
        </row>
        <row r="999">
          <cell r="N999" t="str">
            <v>9W113PA</v>
          </cell>
          <cell r="Q999">
            <v>432115035471</v>
          </cell>
          <cell r="R999" t="str">
            <v>HP-NB 9W113PA 14S-DQ3120TU CEL</v>
          </cell>
        </row>
        <row r="1000">
          <cell r="N1000" t="str">
            <v>9W114PA</v>
          </cell>
          <cell r="Q1000">
            <v>432115035472</v>
          </cell>
          <cell r="R1000" t="str">
            <v>HP-NB 9W114PA 14S-DQ3121TU PENT</v>
          </cell>
        </row>
        <row r="1001">
          <cell r="N1001" t="str">
            <v>79J60PA</v>
          </cell>
          <cell r="Q1001">
            <v>432115035460</v>
          </cell>
          <cell r="R1001" t="str">
            <v>HP-NB 79J60PA VICTUS 15-FB0090AX 16GB</v>
          </cell>
        </row>
        <row r="1002">
          <cell r="N1002" t="str">
            <v>9Y1W9PA</v>
          </cell>
          <cell r="Q1002">
            <v>432115035508</v>
          </cell>
          <cell r="R1002" t="str">
            <v>HP-NB 9Y1W9PA VICTUS 15-FA1323TX</v>
          </cell>
        </row>
        <row r="1003">
          <cell r="N1003" t="str">
            <v>N4500 4GB 256GB 14 HD W11 NSV OPI</v>
          </cell>
          <cell r="O1003" t="str">
            <v>9W113PA</v>
          </cell>
          <cell r="Q1003">
            <v>432115035624</v>
          </cell>
          <cell r="R1003" t="str">
            <v>HP-NB 9W113PA 14S-DQ3120TU CEL 8GB</v>
          </cell>
        </row>
        <row r="1004">
          <cell r="N1004" t="str">
            <v>3J123AA FOC</v>
          </cell>
          <cell r="Q1004">
            <v>432117090124</v>
          </cell>
          <cell r="R1004" t="str">
            <v>HP-NB 3J123AA MPP2.0 TILT SV PEN FOC</v>
          </cell>
        </row>
        <row r="1005">
          <cell r="N1005" t="str">
            <v>JISULIFE</v>
          </cell>
          <cell r="Q1005">
            <v>401016040276</v>
          </cell>
          <cell r="R1005" t="str">
            <v>HP-NB JISULIFE PRO1 WHITE FOC</v>
          </cell>
        </row>
        <row r="1006">
          <cell r="N1006" t="str">
            <v>A08JTAA</v>
          </cell>
          <cell r="Q1006">
            <v>531217060324</v>
          </cell>
          <cell r="R1006" t="str">
            <v>HP-NB BUNDLE A08JTAA 16INCH BRFCASE</v>
          </cell>
        </row>
        <row r="1007">
          <cell r="N1007" t="str">
            <v>2Z8P4AA</v>
          </cell>
          <cell r="Q1007">
            <v>531217060241</v>
          </cell>
          <cell r="R1007" t="str">
            <v>HP-NB BUNDLE 2Z8P4AA SLING BAG</v>
          </cell>
        </row>
        <row r="1008">
          <cell r="N1008" t="str">
            <v>OMEN HYPERX</v>
          </cell>
          <cell r="Q1008">
            <v>521615143506</v>
          </cell>
          <cell r="R1008" t="str">
            <v>HP-NB HP 77Z45AA HX CLOUD III BK WL</v>
          </cell>
        </row>
        <row r="1009">
          <cell r="N1009" t="str">
            <v>727A8AA</v>
          </cell>
          <cell r="Q1009">
            <v>521615143496</v>
          </cell>
          <cell r="R1009" t="str">
            <v>HP-NB 727A8AA HX CLOUD III BK</v>
          </cell>
        </row>
        <row r="1010">
          <cell r="N1010" t="str">
            <v>NIIMBOT</v>
          </cell>
          <cell r="Q1010">
            <v>432121130012</v>
          </cell>
          <cell r="R1010" t="str">
            <v>HP-NB NIIMBOT D11_H THERMAL PRINTER BLUE</v>
          </cell>
        </row>
        <row r="1011">
          <cell r="N1011" t="str">
            <v>NIIMBOT</v>
          </cell>
          <cell r="Q1011">
            <v>432121130011</v>
          </cell>
          <cell r="R1011" t="str">
            <v>HP-NB NIIMBOT D11_H THERMAL PRINTER PINK</v>
          </cell>
        </row>
        <row r="1012">
          <cell r="N1012" t="str">
            <v>NIIMBOT</v>
          </cell>
          <cell r="Q1012">
            <v>432121130010</v>
          </cell>
          <cell r="R1012" t="str">
            <v>HP-NB NIIMBOT D11_H THERMAL PRINTER BK</v>
          </cell>
        </row>
        <row r="1013">
          <cell r="N1013" t="str">
            <v>NIIMBOT</v>
          </cell>
          <cell r="Q1013">
            <v>432121130009</v>
          </cell>
          <cell r="R1013" t="str">
            <v>HP-NB NIIMBOT D11_H THERMAL PRINTER WH</v>
          </cell>
        </row>
        <row r="1014">
          <cell r="N1014" t="str">
            <v>NIIMBOT</v>
          </cell>
          <cell r="Q1014">
            <v>432121130008</v>
          </cell>
          <cell r="R1014" t="str">
            <v>HP-NB NIIMBOT B21S THERMAL PRINTER WHITE</v>
          </cell>
        </row>
        <row r="1015">
          <cell r="N1015" t="str">
            <v>780F0AA</v>
          </cell>
          <cell r="Q1015">
            <v>432119024421</v>
          </cell>
          <cell r="R1015" t="str">
            <v>HP-NB 780F0AA OMEN 24 FHD 165HZ MNTR</v>
          </cell>
        </row>
        <row r="1016">
          <cell r="N1016" t="str">
            <v>DM8L6PA</v>
          </cell>
          <cell r="Q1016">
            <v>432115036971</v>
          </cell>
          <cell r="R1016" t="str">
            <v>HP-NB DM8L6PA 15-FC0932AU SILVER</v>
          </cell>
        </row>
        <row r="1017">
          <cell r="N1017" t="str">
            <v>DU5T3PA</v>
          </cell>
          <cell r="Q1017">
            <v>432115036927</v>
          </cell>
          <cell r="R1017" t="str">
            <v>HP-NB DU5T3PA OBKX FLIP NGAI 14-KC0057AU</v>
          </cell>
        </row>
        <row r="1018">
          <cell r="N1018" t="str">
            <v>DU5T4PA</v>
          </cell>
          <cell r="Q1018">
            <v>432115036925</v>
          </cell>
          <cell r="R1018" t="str">
            <v>HP-NB DU5T4PA OBKX FLIP NGAI 14-KC0079AU</v>
          </cell>
        </row>
        <row r="1019">
          <cell r="N1019" t="str">
            <v>DU5S5PA</v>
          </cell>
          <cell r="Q1019">
            <v>432115036924</v>
          </cell>
          <cell r="R1019" t="str">
            <v>HP-NB DU5S5PA OBKX FLIP NGAI 14-KB0102TU</v>
          </cell>
        </row>
        <row r="1020">
          <cell r="N1020" t="str">
            <v>DU5S4PA</v>
          </cell>
          <cell r="Q1020">
            <v>432115036923</v>
          </cell>
          <cell r="R1020" t="str">
            <v>HP-NB DU5S4PA OBKX FLIP NGAI 14-KB0101TU</v>
          </cell>
        </row>
        <row r="1021">
          <cell r="N1021" t="str">
            <v>DU5S1PA</v>
          </cell>
          <cell r="Q1021">
            <v>432115036922</v>
          </cell>
          <cell r="R1021" t="str">
            <v>HP-NB DU5S1PA OBKX FLIP NGAI 14-KB0100TU</v>
          </cell>
        </row>
        <row r="1022">
          <cell r="N1022" t="str">
            <v>DU5T6PA</v>
          </cell>
          <cell r="Q1022">
            <v>432115036919</v>
          </cell>
          <cell r="R1022" t="str">
            <v>HP-NB DU5T6PA OBKX FLIP NGAI 14-KC0081AU</v>
          </cell>
        </row>
        <row r="1023">
          <cell r="N1023" t="str">
            <v>DU5S8PA</v>
          </cell>
          <cell r="Q1023">
            <v>432115036917</v>
          </cell>
          <cell r="R1023" t="str">
            <v>HP-NB DU5S8PA OBKX FLIP NGAI 14-KB0107TU</v>
          </cell>
        </row>
        <row r="1024">
          <cell r="N1024" t="str">
            <v>DU5T2PA</v>
          </cell>
          <cell r="Q1024">
            <v>432115036916</v>
          </cell>
          <cell r="R1024" t="str">
            <v>HP-NB DU5T2PA OBKX FLIP NGAI 14-KB0112TU</v>
          </cell>
        </row>
        <row r="1025">
          <cell r="N1025" t="str">
            <v>DU5S7PA</v>
          </cell>
          <cell r="Q1025">
            <v>432115036915</v>
          </cell>
          <cell r="R1025" t="str">
            <v>HP-NB DU5S7PA OBKX FLIP NGAI 14-KB0106TU</v>
          </cell>
        </row>
        <row r="1026">
          <cell r="N1026" t="str">
            <v>DU5S6PA</v>
          </cell>
          <cell r="Q1026">
            <v>432115036914</v>
          </cell>
          <cell r="R1026" t="str">
            <v>HP-NB DU5S6PA OBKX FLIP NGAI 14-KB0105TU</v>
          </cell>
        </row>
        <row r="1027">
          <cell r="N1027" t="str">
            <v>DU5R6PA</v>
          </cell>
          <cell r="Q1027">
            <v>432115036907</v>
          </cell>
          <cell r="R1027" t="str">
            <v>HP-NB DU5R6PA OMNBK5 FLIP 14-FP0162TU PK</v>
          </cell>
        </row>
        <row r="1028">
          <cell r="N1028" t="str">
            <v>DX4J7PA</v>
          </cell>
          <cell r="Q1028">
            <v>432115036904</v>
          </cell>
          <cell r="R1028" t="str">
            <v>HP-NB DX4J7PA OMNIBOK5 AI PC 14-KF0002TU</v>
          </cell>
        </row>
        <row r="1029">
          <cell r="N1029" t="str">
            <v>DJ8T4PA</v>
          </cell>
          <cell r="Q1029">
            <v>432115036903</v>
          </cell>
          <cell r="R1029" t="str">
            <v>HP-NB DJ8T4PA OMNIBOOK 5 14-HM0072AU BU</v>
          </cell>
        </row>
        <row r="1030">
          <cell r="N1030" t="str">
            <v>DW4U9PA</v>
          </cell>
          <cell r="Q1030">
            <v>432115036899</v>
          </cell>
          <cell r="R1030" t="str">
            <v>HP-NB DW4U9PA OMNIBK3 AI PC 14-HT0145TU</v>
          </cell>
        </row>
        <row r="1031">
          <cell r="N1031" t="str">
            <v>DW4U8PA</v>
          </cell>
          <cell r="Q1031">
            <v>432115036898</v>
          </cell>
          <cell r="R1031" t="str">
            <v>HP-NB DW4U8PA OMNIBOK3 AI PC 14-HT0144TU</v>
          </cell>
        </row>
        <row r="1032">
          <cell r="N1032" t="str">
            <v>DU5U6PA</v>
          </cell>
          <cell r="Q1032">
            <v>432115036897</v>
          </cell>
          <cell r="R1032" t="str">
            <v>HP-NB DU5U6PA 15-FC0947AU SILVER</v>
          </cell>
        </row>
        <row r="1033">
          <cell r="N1033" t="str">
            <v>DJ8T8PA</v>
          </cell>
          <cell r="Q1033">
            <v>432115036895</v>
          </cell>
          <cell r="R1033" t="str">
            <v>HP-NB DJ8T8PA 15-FD1618TU SILVER</v>
          </cell>
        </row>
        <row r="1034">
          <cell r="N1034" t="str">
            <v>DM8L5PA</v>
          </cell>
          <cell r="Q1034">
            <v>432115036894</v>
          </cell>
          <cell r="R1034" t="str">
            <v>HP-NB DM8L5PA 15-FC0930AU SILVER</v>
          </cell>
        </row>
        <row r="1035">
          <cell r="N1035" t="str">
            <v>DM8L9PA</v>
          </cell>
          <cell r="Q1035">
            <v>432115036893</v>
          </cell>
          <cell r="R1035" t="str">
            <v>HP-NB DM8L9PA 15-FD0982TU SILVER</v>
          </cell>
        </row>
        <row r="1036">
          <cell r="N1036" t="str">
            <v>DM8L7PA</v>
          </cell>
          <cell r="Q1036">
            <v>432115036892</v>
          </cell>
          <cell r="R1036" t="str">
            <v>HP-NB DM8L7PA 15-FC0933AU SILVER</v>
          </cell>
        </row>
        <row r="1037">
          <cell r="N1037" t="str">
            <v>DF7M8PA</v>
          </cell>
          <cell r="Q1037">
            <v>432115036872</v>
          </cell>
          <cell r="R1037" t="str">
            <v>HP-NB DF7M8PA 15-FC0905AU 12GB SILVER</v>
          </cell>
        </row>
        <row r="1038">
          <cell r="N1038" t="str">
            <v>DF7M8PA</v>
          </cell>
          <cell r="Q1038">
            <v>432115036871</v>
          </cell>
          <cell r="R1038" t="str">
            <v>HP-NB DF7M8PA 15-FC0905AU 16GB SILVER</v>
          </cell>
        </row>
        <row r="1039">
          <cell r="N1039" t="str">
            <v>DF7M8PA</v>
          </cell>
          <cell r="Q1039">
            <v>432115036816</v>
          </cell>
          <cell r="R1039" t="str">
            <v>HP-NB DF7M8PA 15-FC0905AU</v>
          </cell>
        </row>
        <row r="1040">
          <cell r="N1040" t="str">
            <v>D93DRPA</v>
          </cell>
          <cell r="Q1040">
            <v>432115036763</v>
          </cell>
          <cell r="R1040" t="str">
            <v>HP-NB D93DRPA HP OBX FLIP 14-FM0178TU U7</v>
          </cell>
        </row>
        <row r="1041">
          <cell r="N1041" t="str">
            <v>D8YL5PA</v>
          </cell>
          <cell r="Q1041">
            <v>432115036762</v>
          </cell>
          <cell r="R1041" t="str">
            <v>HP-NB D8YL5PA HP OBX FLIP 14-FM0181TU U7</v>
          </cell>
        </row>
        <row r="1042">
          <cell r="N1042" t="str">
            <v>D6TM8PA</v>
          </cell>
          <cell r="Q1042">
            <v>432115036759</v>
          </cell>
          <cell r="R1042" t="str">
            <v>HP-NB D6TM8PA HP 15-FD1541TU C5</v>
          </cell>
        </row>
        <row r="1043">
          <cell r="N1043" t="str">
            <v>D93DXPA</v>
          </cell>
          <cell r="Q1043">
            <v>432115036758</v>
          </cell>
          <cell r="R1043" t="str">
            <v>HP-NB D93DXPA HP 15-FC0863AU R5</v>
          </cell>
        </row>
        <row r="1044">
          <cell r="N1044" t="str">
            <v>D40T5PA</v>
          </cell>
          <cell r="Q1044">
            <v>432115036610</v>
          </cell>
          <cell r="R1044" t="str">
            <v>HP-NB D40T5PA OMNIBOOK3 15-FN0046AU</v>
          </cell>
        </row>
        <row r="1045">
          <cell r="N1045" t="str">
            <v>D07C7PA</v>
          </cell>
          <cell r="Q1045">
            <v>432115036567</v>
          </cell>
          <cell r="R1045" t="str">
            <v>HP-NB D07C7PA VICTUS 15-FB3223AX</v>
          </cell>
        </row>
        <row r="1046">
          <cell r="N1046" t="str">
            <v>D07C2PA</v>
          </cell>
          <cell r="Q1046">
            <v>432115036565</v>
          </cell>
          <cell r="R1046" t="str">
            <v>HP-NB D07C2PA OMNI X FLIP AI 14-FK0111AU</v>
          </cell>
        </row>
        <row r="1047">
          <cell r="N1047" t="str">
            <v>D07C3PA</v>
          </cell>
          <cell r="Q1047">
            <v>432115036564</v>
          </cell>
          <cell r="R1047" t="str">
            <v>HP-NB D07C3PA OMNI X FLIP AI 14-FK0112AU</v>
          </cell>
        </row>
        <row r="1048">
          <cell r="N1048" t="str">
            <v>D09H9PA</v>
          </cell>
          <cell r="Q1048">
            <v>432115036562</v>
          </cell>
          <cell r="R1048" t="str">
            <v>HP-NB D09H9PA OMNI5 NGAI 14-HE0046QU</v>
          </cell>
        </row>
        <row r="1049">
          <cell r="N1049" t="str">
            <v>CH8A8PA</v>
          </cell>
          <cell r="Q1049">
            <v>432115036561</v>
          </cell>
          <cell r="R1049" t="str">
            <v>HP-NB CH8A8PA 15-FD1455TU</v>
          </cell>
        </row>
        <row r="1050">
          <cell r="N1050" t="str">
            <v>D07C9PA</v>
          </cell>
          <cell r="Q1050">
            <v>432115036556</v>
          </cell>
          <cell r="R1050" t="str">
            <v>HP-NB D07C9PA 15-FC0756AU</v>
          </cell>
        </row>
        <row r="1051">
          <cell r="N1051" t="str">
            <v>D07CCPA</v>
          </cell>
          <cell r="Q1051">
            <v>432115036555</v>
          </cell>
          <cell r="R1051" t="str">
            <v>HP-NB D07CCPA 15-FC0758AU</v>
          </cell>
        </row>
        <row r="1052">
          <cell r="N1052" t="str">
            <v>C8BN3PA</v>
          </cell>
          <cell r="Q1052">
            <v>432115036466</v>
          </cell>
          <cell r="R1052" t="str">
            <v>HP-NB C8BN3PA 15-FD1360TU C5</v>
          </cell>
        </row>
        <row r="1053">
          <cell r="N1053" t="str">
            <v>C5AX8PA</v>
          </cell>
          <cell r="Q1053">
            <v>432115036464</v>
          </cell>
          <cell r="R1053" t="str">
            <v>HP-NB C5AX8PA 15-FC0566AU R5</v>
          </cell>
        </row>
        <row r="1054">
          <cell r="N1054" t="str">
            <v>C5AX6PA</v>
          </cell>
          <cell r="Q1054">
            <v>432115036463</v>
          </cell>
          <cell r="R1054" t="str">
            <v>HP-NB C5AX6PA 15-FC0254AU UPSON</v>
          </cell>
        </row>
        <row r="1055">
          <cell r="N1055" t="str">
            <v>C5AX3PA</v>
          </cell>
          <cell r="Q1055">
            <v>432115036461</v>
          </cell>
          <cell r="R1055" t="str">
            <v>HP-NB C5AX3PA 14-EP0330TU I3</v>
          </cell>
        </row>
        <row r="1056">
          <cell r="N1056" t="str">
            <v>C4FW3PA</v>
          </cell>
          <cell r="Q1056">
            <v>432115036420</v>
          </cell>
          <cell r="R1056" t="str">
            <v>HP-NB C4FW3PA 14-EP1144TU CORE5</v>
          </cell>
        </row>
        <row r="1057">
          <cell r="N1057" t="str">
            <v>C28DGPA</v>
          </cell>
          <cell r="Q1057">
            <v>432115036384</v>
          </cell>
          <cell r="R1057" t="str">
            <v>HP-NB C28DGPA 15-FD0692TU SLEF</v>
          </cell>
        </row>
        <row r="1058">
          <cell r="N1058" t="str">
            <v>BX8X7PA</v>
          </cell>
          <cell r="Q1058">
            <v>432115036383</v>
          </cell>
          <cell r="R1058" t="str">
            <v>HP-NB BX8X7PA VICTUS 15-FB3132AX ION</v>
          </cell>
        </row>
        <row r="1059">
          <cell r="N1059" t="str">
            <v>C29Y0PA</v>
          </cell>
          <cell r="Q1059">
            <v>432115036381</v>
          </cell>
          <cell r="R1059" t="str">
            <v>HP-NB C29Y0PA OMEN 16-AP0141AX XLCSV</v>
          </cell>
        </row>
        <row r="1060">
          <cell r="N1060" t="str">
            <v>BX8B0PA</v>
          </cell>
          <cell r="Q1060">
            <v>432115036342</v>
          </cell>
          <cell r="R1060" t="str">
            <v>HP-NB BX8B0PA 15-FC0486AU EW</v>
          </cell>
        </row>
        <row r="1061">
          <cell r="N1061" t="str">
            <v>BQ2T3PA</v>
          </cell>
          <cell r="Q1061">
            <v>432115036339</v>
          </cell>
          <cell r="R1061" t="str">
            <v>HP-NB BQ2T3PA OMEN TRANSCEND 14-FB1008TX</v>
          </cell>
        </row>
        <row r="1062">
          <cell r="N1062" t="str">
            <v>BX9C6PA</v>
          </cell>
          <cell r="Q1062">
            <v>432115036329</v>
          </cell>
          <cell r="R1062" t="str">
            <v>HP-NB BX9C6PA VICTUS 15-FB3131AX</v>
          </cell>
        </row>
        <row r="1063">
          <cell r="N1063" t="str">
            <v>BX9J7PA</v>
          </cell>
          <cell r="Q1063">
            <v>432115036328</v>
          </cell>
          <cell r="R1063" t="str">
            <v>HP-NB BX9J7PA OMNIBOOK5 FLIP 14-FP0061TU</v>
          </cell>
        </row>
        <row r="1064">
          <cell r="N1064" t="str">
            <v>BX9C3PA</v>
          </cell>
          <cell r="Q1064">
            <v>432115036327</v>
          </cell>
          <cell r="R1064" t="str">
            <v>HP-NB BX9C3PA OMNIBOOK5 FLIP 14-FP0060TU</v>
          </cell>
        </row>
        <row r="1065">
          <cell r="N1065" t="str">
            <v>BJ0T4PA</v>
          </cell>
          <cell r="Q1065">
            <v>432115036326</v>
          </cell>
          <cell r="R1065" t="str">
            <v>HP-NB BJ0T4PA ENVY X360 14-FA0079AU</v>
          </cell>
        </row>
        <row r="1066">
          <cell r="N1066" t="str">
            <v>BX9D9PA</v>
          </cell>
          <cell r="Q1066">
            <v>432115036323</v>
          </cell>
          <cell r="R1066" t="str">
            <v>HP-NB BX9D9PA OMNIBOOK 5 AI 16-AF1063TU</v>
          </cell>
        </row>
        <row r="1067">
          <cell r="N1067" t="str">
            <v>BJ0J9PA</v>
          </cell>
          <cell r="Q1067">
            <v>432115036322</v>
          </cell>
          <cell r="R1067" t="str">
            <v>HP-NB BJ0J9PA OMNIBOOK7 AERO 13-BG1056AU</v>
          </cell>
        </row>
        <row r="1068">
          <cell r="N1068" t="str">
            <v>BJ0J8PA</v>
          </cell>
          <cell r="Q1068">
            <v>432115036321</v>
          </cell>
          <cell r="R1068" t="str">
            <v>HP-NB BJ0J8PA OMNIBOOK7 AERO 13-BG1055AU</v>
          </cell>
        </row>
        <row r="1069">
          <cell r="N1069" t="str">
            <v>BX9D8PA</v>
          </cell>
          <cell r="Q1069">
            <v>432115036319</v>
          </cell>
          <cell r="R1069" t="str">
            <v>HP-NB BX9D8PA OMNIBOOK 5 AI 16-AF1062TU</v>
          </cell>
        </row>
        <row r="1070">
          <cell r="N1070" t="str">
            <v>BX9J9PA</v>
          </cell>
          <cell r="Q1070">
            <v>432115036318</v>
          </cell>
          <cell r="R1070" t="str">
            <v>HP-NB BX9J9PA OMNIBOOK 5 16-BC1014AU</v>
          </cell>
        </row>
        <row r="1071">
          <cell r="N1071" t="str">
            <v>BX8A9PA</v>
          </cell>
          <cell r="Q1071">
            <v>432115036315</v>
          </cell>
          <cell r="R1071" t="str">
            <v>HP-NB BX8A9PA 15-FC0485AU</v>
          </cell>
        </row>
        <row r="1072">
          <cell r="N1072" t="str">
            <v>C00YVPA</v>
          </cell>
          <cell r="Q1072">
            <v>432115036312</v>
          </cell>
          <cell r="R1072" t="str">
            <v>HP-NB C00YVPA PAV AERO 13-BG0083AU</v>
          </cell>
        </row>
        <row r="1073">
          <cell r="N1073" t="str">
            <v>BG5R8PA</v>
          </cell>
          <cell r="O1073" t="str">
            <v>NATURAL SILVER</v>
          </cell>
          <cell r="Q1073">
            <v>432115036190</v>
          </cell>
          <cell r="R1073" t="str">
            <v>HP-NB BG5R8PA 15-FD0567TU GEOX</v>
          </cell>
        </row>
        <row r="1074">
          <cell r="N1074" t="str">
            <v>B8AH9PA</v>
          </cell>
          <cell r="O1074" t="str">
            <v>MICA SILVER</v>
          </cell>
          <cell r="Q1074">
            <v>432115036144</v>
          </cell>
          <cell r="R1074" t="str">
            <v>HP-NB B8AH9PA VICTUS 15-FA1463TX PCX</v>
          </cell>
        </row>
        <row r="1075">
          <cell r="N1075" t="str">
            <v>BA4N4PA</v>
          </cell>
          <cell r="O1075" t="str">
            <v>NATURAL SILVER</v>
          </cell>
          <cell r="Q1075">
            <v>432115036137</v>
          </cell>
          <cell r="R1075" t="str">
            <v>HP-NB BA4N4PA 15-FD0516TU I5</v>
          </cell>
        </row>
        <row r="1076">
          <cell r="N1076" t="str">
            <v>B9EG9PA</v>
          </cell>
          <cell r="O1076" t="str">
            <v>NATURAL SILVER</v>
          </cell>
          <cell r="Q1076">
            <v>432115036136</v>
          </cell>
          <cell r="R1076" t="str">
            <v>HP-NB B9EG9PA 15-FC0412AU R5</v>
          </cell>
        </row>
        <row r="1077">
          <cell r="N1077" t="str">
            <v>B5RN3PA</v>
          </cell>
          <cell r="Q1077">
            <v>432115036102</v>
          </cell>
          <cell r="R1077" t="str">
            <v>HP-NB B5RN3PA 14-EP0263TU I3</v>
          </cell>
        </row>
        <row r="1078">
          <cell r="N1078" t="str">
            <v>B49WBPA</v>
          </cell>
          <cell r="Q1078">
            <v>432115035989</v>
          </cell>
          <cell r="R1078" t="str">
            <v>HP-NB B49WBPA PAVILION 16-AG0034AU R5</v>
          </cell>
        </row>
        <row r="1079">
          <cell r="N1079" t="str">
            <v>B49W8PA</v>
          </cell>
          <cell r="Q1079">
            <v>432115035987</v>
          </cell>
          <cell r="R1079" t="str">
            <v>HP-NB B49W8PA PAVILION 16-AF0063TU U5</v>
          </cell>
        </row>
        <row r="1080">
          <cell r="N1080" t="str">
            <v>B49W6PA</v>
          </cell>
          <cell r="Q1080">
            <v>432115035985</v>
          </cell>
          <cell r="R1080" t="str">
            <v>HP-NB B49W6PA 15-FD0414TU I5</v>
          </cell>
        </row>
        <row r="1081">
          <cell r="N1081" t="str">
            <v>B49W4PA</v>
          </cell>
          <cell r="Q1081">
            <v>432115035984</v>
          </cell>
          <cell r="R1081" t="str">
            <v>HP-NB B49W4PA 15-FD0402TU I3</v>
          </cell>
        </row>
        <row r="1082">
          <cell r="N1082" t="str">
            <v>B49W2PA</v>
          </cell>
          <cell r="Q1082">
            <v>432115035983</v>
          </cell>
          <cell r="R1082" t="str">
            <v>HP-NB B49W2PA 15-FC0337AU R7</v>
          </cell>
        </row>
        <row r="1083">
          <cell r="N1083" t="str">
            <v>B45TXPA</v>
          </cell>
          <cell r="Q1083">
            <v>432115035967</v>
          </cell>
          <cell r="R1083" t="str">
            <v>HP-NB B45TXPA VICTSGAMING 15-FB1057AX R5</v>
          </cell>
        </row>
        <row r="1084">
          <cell r="N1084" t="str">
            <v>B14ZBPA</v>
          </cell>
          <cell r="Q1084">
            <v>432115035942</v>
          </cell>
          <cell r="R1084" t="str">
            <v>HP-NB B14ZBPA OMNIBOOK X 14-FE0028QU</v>
          </cell>
        </row>
        <row r="1085">
          <cell r="N1085" t="str">
            <v>B11X9PA</v>
          </cell>
          <cell r="Q1085">
            <v>432115035926</v>
          </cell>
          <cell r="R1085" t="str">
            <v>HP-NB B11X9PA 14-EP0223TU I3 GEOX</v>
          </cell>
        </row>
        <row r="1086">
          <cell r="N1086" t="str">
            <v>B11X8PA</v>
          </cell>
          <cell r="Q1086">
            <v>432115035925</v>
          </cell>
          <cell r="R1086" t="str">
            <v>HP-NB B11X8PA 14-EM0184AU R5 GEOX</v>
          </cell>
        </row>
        <row r="1087">
          <cell r="N1087" t="str">
            <v>A32Z9PA</v>
          </cell>
          <cell r="Q1087">
            <v>432115035736</v>
          </cell>
          <cell r="R1087" t="str">
            <v>HP-NB A32Z9PA OMEN 16-WF1113TX I7</v>
          </cell>
        </row>
        <row r="1088">
          <cell r="N1088" t="str">
            <v>A46S1PA</v>
          </cell>
          <cell r="Q1088">
            <v>432115035719</v>
          </cell>
          <cell r="R1088" t="str">
            <v>HP-NB A46S1PA ENVY X360 14-FA0069AU R7</v>
          </cell>
        </row>
        <row r="1089">
          <cell r="N1089" t="str">
            <v>A46SSPA</v>
          </cell>
          <cell r="Q1089">
            <v>432115035716</v>
          </cell>
          <cell r="R1089" t="str">
            <v>HP-NB A46SSPA ENVY X360 14-FC0132TU U5</v>
          </cell>
        </row>
        <row r="1090">
          <cell r="N1090" t="str">
            <v>A46T3PA</v>
          </cell>
          <cell r="Q1090">
            <v>432115035713</v>
          </cell>
          <cell r="R1090" t="str">
            <v>HP-NB A46T3PA PAV PLUS  14-EW1009TU U5</v>
          </cell>
        </row>
        <row r="1091">
          <cell r="N1091" t="str">
            <v>A46S0PA</v>
          </cell>
          <cell r="Q1091">
            <v>432115035712</v>
          </cell>
          <cell r="R1091" t="str">
            <v>HP-NB A46S0PA PAV AERO  13-BG0039AU R7</v>
          </cell>
        </row>
        <row r="1092">
          <cell r="N1092" t="str">
            <v>A4HX6PA</v>
          </cell>
          <cell r="Q1092">
            <v>432115035710</v>
          </cell>
          <cell r="R1092" t="str">
            <v>HP-NB A4HX6PA 15-FD1168TU CORE7</v>
          </cell>
        </row>
        <row r="1093">
          <cell r="N1093" t="str">
            <v>A4KE7PA</v>
          </cell>
          <cell r="Q1093">
            <v>432115035709</v>
          </cell>
          <cell r="R1093" t="str">
            <v>HP-NB A4KE7PA 15-FC1002AU R7</v>
          </cell>
        </row>
        <row r="1094">
          <cell r="N1094" t="str">
            <v>A4HX5PA</v>
          </cell>
          <cell r="Q1094">
            <v>432115035708</v>
          </cell>
          <cell r="R1094" t="str">
            <v>HP-NB A4HX5PA 15-FD1167TU CORE5</v>
          </cell>
        </row>
        <row r="1095">
          <cell r="N1095" t="str">
            <v>A4HX4PA</v>
          </cell>
          <cell r="Q1095">
            <v>432115035707</v>
          </cell>
          <cell r="R1095" t="str">
            <v>HP-NB A4HX4PA 15-FC0261AU R5</v>
          </cell>
        </row>
        <row r="1096">
          <cell r="N1096" t="str">
            <v>9W115PA</v>
          </cell>
          <cell r="Q1096">
            <v>432115035479</v>
          </cell>
          <cell r="R1096" t="str">
            <v>HP-NB 9W115PA PAV 15-EG3126TU I5</v>
          </cell>
        </row>
        <row r="1097">
          <cell r="N1097" t="str">
            <v>9W119PA</v>
          </cell>
          <cell r="Q1097">
            <v>432115035476</v>
          </cell>
          <cell r="R1097" t="str">
            <v>HP-NB 9W119PA 15-FD0252TU I5</v>
          </cell>
        </row>
        <row r="1098">
          <cell r="N1098" t="str">
            <v>9U5D4PA</v>
          </cell>
          <cell r="Q1098">
            <v>432115035463</v>
          </cell>
          <cell r="R1098" t="str">
            <v>HP-NB 9U5D4PA 15S-EQ2317AU EXCLUSIVE</v>
          </cell>
        </row>
        <row r="1099">
          <cell r="N1099" t="str">
            <v>9T9D6PA</v>
          </cell>
          <cell r="Q1099">
            <v>432115035452</v>
          </cell>
          <cell r="R1099" t="str">
            <v>HP-NB 9T9D6PA 15S-EQ2316AU</v>
          </cell>
        </row>
        <row r="1100">
          <cell r="N1100" t="str">
            <v>8W374PA</v>
          </cell>
          <cell r="Q1100">
            <v>432115035323</v>
          </cell>
          <cell r="R1100" t="str">
            <v>HP-NB 8W374PA VICTUS 15-FB1019AX</v>
          </cell>
        </row>
        <row r="1101">
          <cell r="N1101" t="str">
            <v>983L6PA</v>
          </cell>
          <cell r="Q1101">
            <v>432115035322</v>
          </cell>
          <cell r="R1101" t="str">
            <v>HP-NB 983L6PA PAV PLUS 14-EW0070TU</v>
          </cell>
        </row>
        <row r="1102">
          <cell r="N1102" t="str">
            <v>983M1PA</v>
          </cell>
          <cell r="Q1102">
            <v>432115035319</v>
          </cell>
          <cell r="R1102" t="str">
            <v>HP-NB 983M1PA 15-FC0122AU</v>
          </cell>
        </row>
        <row r="1103">
          <cell r="N1103" t="str">
            <v>983L7PA</v>
          </cell>
          <cell r="Q1103">
            <v>432115035318</v>
          </cell>
          <cell r="R1103" t="str">
            <v>HP-NB 983L7PA 14-EM0105AU</v>
          </cell>
        </row>
        <row r="1104">
          <cell r="N1104" t="str">
            <v>8X0D1PA</v>
          </cell>
          <cell r="Q1104">
            <v>432115035260</v>
          </cell>
          <cell r="R1104" t="str">
            <v>HP-NB 8X0D1PA 15-FC0120AU</v>
          </cell>
        </row>
        <row r="1105">
          <cell r="N1105" t="str">
            <v>86J50PA</v>
          </cell>
          <cell r="Q1105">
            <v>432115035013</v>
          </cell>
          <cell r="R1105" t="str">
            <v>HP-NB 86J50PA PAV X360 14-EK1061TU</v>
          </cell>
        </row>
        <row r="1106">
          <cell r="N1106" t="str">
            <v>86J71PA</v>
          </cell>
          <cell r="Q1106">
            <v>432115035011</v>
          </cell>
          <cell r="R1106" t="str">
            <v>HP-NB 86J71PA ENVY 16-H1015TX</v>
          </cell>
        </row>
        <row r="1107">
          <cell r="N1107" t="str">
            <v>86J44PA</v>
          </cell>
          <cell r="Q1107">
            <v>432115035009</v>
          </cell>
          <cell r="R1107" t="str">
            <v>HP-NB 86J44PA PAV AERO 13-BE2090AU</v>
          </cell>
        </row>
        <row r="1108">
          <cell r="N1108" t="str">
            <v>86J52PA</v>
          </cell>
          <cell r="Q1108">
            <v>432115035006</v>
          </cell>
          <cell r="R1108" t="str">
            <v>HP-NB 86J52PA PAV 15-EG3025TX</v>
          </cell>
        </row>
        <row r="1109">
          <cell r="N1109" t="str">
            <v>86J69PA</v>
          </cell>
          <cell r="Q1109">
            <v>432115035005</v>
          </cell>
          <cell r="R1109" t="str">
            <v>HP-NB 86J69PA 15-FD0130TU</v>
          </cell>
        </row>
        <row r="1110">
          <cell r="N1110" t="str">
            <v>86J68PA</v>
          </cell>
          <cell r="Q1110">
            <v>432115035004</v>
          </cell>
          <cell r="R1110" t="str">
            <v>HP-NB 86J68PA 15-FC0108AU</v>
          </cell>
        </row>
        <row r="1111">
          <cell r="N1111" t="str">
            <v>80R06PA</v>
          </cell>
          <cell r="Q1111">
            <v>432115034910</v>
          </cell>
          <cell r="R1111" t="str">
            <v>HP-NB 80R06PA 14-EP0024TU</v>
          </cell>
        </row>
        <row r="1112">
          <cell r="N1112" t="str">
            <v>7Q7J0PA</v>
          </cell>
          <cell r="Q1112">
            <v>432115034842</v>
          </cell>
          <cell r="R1112" t="str">
            <v>HP-NB 7Q7J0PA 15-FC0051AU</v>
          </cell>
        </row>
        <row r="1113">
          <cell r="N1113" t="str">
            <v>7Q7J4PA</v>
          </cell>
          <cell r="Q1113">
            <v>432115034841</v>
          </cell>
          <cell r="R1113" t="str">
            <v>HP-NB 7Q7J4PA 15S-FQ5184TU</v>
          </cell>
        </row>
        <row r="1114">
          <cell r="N1114" t="str">
            <v>7Q7H8PA</v>
          </cell>
          <cell r="Q1114">
            <v>432115034840</v>
          </cell>
          <cell r="R1114" t="str">
            <v>HP-NB 7Q7H8PA 15-FC0049AU</v>
          </cell>
        </row>
        <row r="1115">
          <cell r="N1115" t="str">
            <v>7Q7H9PA</v>
          </cell>
          <cell r="Q1115">
            <v>432115034838</v>
          </cell>
          <cell r="R1115" t="str">
            <v>HP-NB 7Q7H9PA 15-FC0050AU</v>
          </cell>
        </row>
        <row r="1116">
          <cell r="N1116" t="str">
            <v>79J51PA</v>
          </cell>
          <cell r="Q1116">
            <v>432115034733</v>
          </cell>
          <cell r="R1116" t="str">
            <v>HP-NB 79J51PA PAV X360 14-EK0122TU</v>
          </cell>
        </row>
        <row r="1117">
          <cell r="N1117" t="str">
            <v>79J50PA</v>
          </cell>
          <cell r="Q1117">
            <v>432115034732</v>
          </cell>
          <cell r="R1117" t="str">
            <v>HP-NB 79J50PA PAV X360 14-EK0121TU</v>
          </cell>
        </row>
        <row r="1118">
          <cell r="N1118" t="str">
            <v>79J44PA</v>
          </cell>
          <cell r="Q1118">
            <v>432115034724</v>
          </cell>
          <cell r="R1118" t="str">
            <v>HP-NB 79J44PA PAV 14-DV2028TX</v>
          </cell>
        </row>
        <row r="1119">
          <cell r="N1119" t="str">
            <v>79J63PA</v>
          </cell>
          <cell r="Q1119">
            <v>432115034723</v>
          </cell>
          <cell r="R1119" t="str">
            <v>HP-NB 79J63PA 15S-EQ3068AU</v>
          </cell>
        </row>
        <row r="1120">
          <cell r="N1120" t="str">
            <v>79J65PA</v>
          </cell>
          <cell r="Q1120">
            <v>432115034722</v>
          </cell>
          <cell r="R1120" t="str">
            <v>HP-NB 79J65PA 15S-FQ5157TU</v>
          </cell>
        </row>
        <row r="1121">
          <cell r="N1121" t="str">
            <v>79J62PA</v>
          </cell>
          <cell r="Q1121">
            <v>432115034721</v>
          </cell>
          <cell r="R1121" t="str">
            <v>HP-NB 79J62PA 15S-EQ3067AU</v>
          </cell>
        </row>
        <row r="1122">
          <cell r="N1122" t="str">
            <v>79J64PA</v>
          </cell>
          <cell r="Q1122">
            <v>432115034720</v>
          </cell>
          <cell r="R1122" t="str">
            <v>HP-NB 79J64PA 15S-FQ2707TU</v>
          </cell>
        </row>
        <row r="1123">
          <cell r="N1123" t="str">
            <v>79J55PA</v>
          </cell>
          <cell r="Q1123">
            <v>432115034719</v>
          </cell>
          <cell r="R1123" t="str">
            <v>HP-NB 79J55PA 14S-FQ1125AU</v>
          </cell>
        </row>
        <row r="1124">
          <cell r="N1124" t="str">
            <v>79J54PA</v>
          </cell>
          <cell r="Q1124">
            <v>432115034718</v>
          </cell>
          <cell r="R1124" t="str">
            <v>HP-NB 79J54PA 14S-DQ3081TU</v>
          </cell>
        </row>
        <row r="1125">
          <cell r="N1125" t="str">
            <v>6J587PA</v>
          </cell>
          <cell r="Q1125">
            <v>432115034490</v>
          </cell>
          <cell r="R1125" t="str">
            <v>HP-NB 6J587PA PAVILION 14-DV2021TX</v>
          </cell>
        </row>
        <row r="1126">
          <cell r="N1126" t="str">
            <v>6J5G6PA</v>
          </cell>
          <cell r="Q1126">
            <v>432115034452</v>
          </cell>
          <cell r="R1126" t="str">
            <v>HP-NB 6J5G6PA 15S-FQ5082TU</v>
          </cell>
        </row>
        <row r="1127">
          <cell r="N1127" t="str">
            <v>6J5G5PA</v>
          </cell>
          <cell r="Q1127">
            <v>432115034451</v>
          </cell>
          <cell r="R1127" t="str">
            <v>HP-NB 6J5G5PA 15S-EQ3046AU</v>
          </cell>
        </row>
        <row r="1128">
          <cell r="N1128" t="str">
            <v>6J5G4PA</v>
          </cell>
          <cell r="Q1128">
            <v>432115034450</v>
          </cell>
          <cell r="R1128" t="str">
            <v>HP-NB 6J5G4PA 15S-EQ3045AU</v>
          </cell>
        </row>
        <row r="1129">
          <cell r="N1129" t="str">
            <v>6J5G0PA</v>
          </cell>
          <cell r="Q1129">
            <v>432115034446</v>
          </cell>
          <cell r="R1129" t="str">
            <v>HP-NB 6J5G0PA 14S-FQ1112AU</v>
          </cell>
        </row>
        <row r="1130">
          <cell r="N1130" t="str">
            <v>6J596PA</v>
          </cell>
          <cell r="Q1130">
            <v>432115034443</v>
          </cell>
          <cell r="R1130" t="str">
            <v>HP-NB 6J596PA 14S-DQ2621TU</v>
          </cell>
        </row>
        <row r="1131">
          <cell r="N1131" t="str">
            <v>680B1PA</v>
          </cell>
          <cell r="Q1131">
            <v>432115034295</v>
          </cell>
          <cell r="R1131" t="str">
            <v>HP-NB 680B1PA 14S-DQ3036TU</v>
          </cell>
        </row>
        <row r="1132">
          <cell r="N1132" t="str">
            <v>63C46PA</v>
          </cell>
          <cell r="Q1132">
            <v>432115034151</v>
          </cell>
          <cell r="R1132" t="str">
            <v>HP-NB 63C46PA 15S-DU1537TU</v>
          </cell>
        </row>
        <row r="1133">
          <cell r="N1133" t="str">
            <v>58Z05PA</v>
          </cell>
          <cell r="Q1133">
            <v>432115034006</v>
          </cell>
          <cell r="R1133" t="str">
            <v>HP-NB 58Z05PA PAV X360 14-DY0193TU</v>
          </cell>
        </row>
        <row r="1134">
          <cell r="N1134" t="str">
            <v>58Z04PA</v>
          </cell>
          <cell r="Q1134">
            <v>432115033996</v>
          </cell>
          <cell r="R1134" t="str">
            <v>HP-NB 58Z04PA PAV 14-DV1020TU</v>
          </cell>
        </row>
        <row r="1135">
          <cell r="N1135" t="str">
            <v>58Y80PA</v>
          </cell>
          <cell r="Q1135">
            <v>432115033991</v>
          </cell>
          <cell r="R1135" t="str">
            <v>HP-NB 58Y80PA 14S-FQ1097AU</v>
          </cell>
        </row>
        <row r="1136">
          <cell r="N1136" t="str">
            <v>58Y79PA</v>
          </cell>
          <cell r="Q1136">
            <v>432115033990</v>
          </cell>
          <cell r="R1136" t="str">
            <v>HP-NB 58Y79PA 14S-DQ0509TU</v>
          </cell>
        </row>
        <row r="1137">
          <cell r="N1137" t="str">
            <v>9MT10PA</v>
          </cell>
          <cell r="Q1137">
            <v>432115032643</v>
          </cell>
          <cell r="R1137" t="str">
            <v>HP 9MT10PA PAVILION14-CE3064TX I5-1035G1</v>
          </cell>
        </row>
        <row r="1138">
          <cell r="N1138" t="str">
            <v>9MT44PA</v>
          </cell>
          <cell r="Q1138">
            <v>432115032622</v>
          </cell>
          <cell r="R1138" t="str">
            <v>HP 9MT44PA OMEN 15-DC1115TX I7-9750H</v>
          </cell>
        </row>
        <row r="1139">
          <cell r="N1139" t="str">
            <v>9MT24PA</v>
          </cell>
          <cell r="Q1139">
            <v>432115032618</v>
          </cell>
          <cell r="R1139" t="str">
            <v>HP 9MT24PA OMEN 15-DC1112TX I5-9300H</v>
          </cell>
        </row>
        <row r="1140">
          <cell r="N1140" t="str">
            <v>KVR56S46BS6-8</v>
          </cell>
          <cell r="Q1140">
            <v>432014021522</v>
          </cell>
          <cell r="R1140" t="str">
            <v>HP-NB KVR56S46BS6-8 8GB SODIMM D5 FOC</v>
          </cell>
        </row>
        <row r="1141">
          <cell r="N1141" t="str">
            <v>16GB 3200MHZ DDR4 NON-ECC CL22 SODIMM 1RX8</v>
          </cell>
          <cell r="O1141" t="str">
            <v>MEMORY UPGRADE</v>
          </cell>
          <cell r="Q1141">
            <v>432014021438</v>
          </cell>
          <cell r="R1141" t="str">
            <v>HP-NB BUNDLE KVR32S22S8/16 16GB 3200MHZ</v>
          </cell>
        </row>
        <row r="1142">
          <cell r="N1142" t="str">
            <v>MEMORY</v>
          </cell>
          <cell r="Q1142">
            <v>432014021407</v>
          </cell>
          <cell r="R1142" t="str">
            <v>HP-NB BUNDLE KCP432SS6/8 8GB 3200MT/S</v>
          </cell>
        </row>
        <row r="1143">
          <cell r="N1143" t="str">
            <v>UN036E</v>
          </cell>
          <cell r="Q1143">
            <v>811118180254</v>
          </cell>
          <cell r="R1143" t="str">
            <v>HP-NB UN036E CAREPACKEXTENDEDWARRANTY3YR</v>
          </cell>
        </row>
        <row r="1144">
          <cell r="N1144" t="str">
            <v>U0VR6E</v>
          </cell>
          <cell r="Q1144">
            <v>811118180194</v>
          </cell>
          <cell r="R1144" t="str">
            <v>HP-NB U0VR6E CAREPACKEXTENDEDWARRANTY3YR</v>
          </cell>
        </row>
        <row r="1145">
          <cell r="N1145" t="str">
            <v>U0VR7E</v>
          </cell>
          <cell r="Q1145">
            <v>811118180186</v>
          </cell>
          <cell r="R1145" t="str">
            <v>HP U8LJ2E CAREPACK EXTENDED WARRANTY 3YR</v>
          </cell>
        </row>
        <row r="1146">
          <cell r="N1146" t="str">
            <v>HP 3.5MM G2 STEREO HEADSET</v>
          </cell>
          <cell r="O1146" t="str">
            <v>428K7AA</v>
          </cell>
          <cell r="Q1146">
            <v>521615143222</v>
          </cell>
          <cell r="R1146" t="str">
            <v>HP-NB BUNDLE 428K7AA 3.5MM G2 STHEADSET</v>
          </cell>
        </row>
        <row r="1147">
          <cell r="N1147" t="str">
            <v>HIFUTURE</v>
          </cell>
          <cell r="Q1147">
            <v>441115010009</v>
          </cell>
          <cell r="R1147" t="str">
            <v>SKG 1205050262 H7 ULTRA E DEMO</v>
          </cell>
        </row>
        <row r="1148">
          <cell r="N1148" t="str">
            <v>HIFUTURE</v>
          </cell>
          <cell r="Q1148">
            <v>432116072284</v>
          </cell>
          <cell r="R1148" t="str">
            <v>HIFUTURE MUSIC BOX 100 SILVER DEMO</v>
          </cell>
        </row>
        <row r="1149">
          <cell r="N1149" t="str">
            <v>1Y0A4PA</v>
          </cell>
          <cell r="Q1149">
            <v>432115032989</v>
          </cell>
          <cell r="R1149" t="str">
            <v>HP-NB 1Y0A4PA PAV X360 14-DH1177TU</v>
          </cell>
        </row>
        <row r="1150">
          <cell r="N1150" t="str">
            <v>18J11PA</v>
          </cell>
          <cell r="Q1150">
            <v>432115032947</v>
          </cell>
          <cell r="R1150" t="str">
            <v>HP-NB 18J11PA 15S-DU2034TX SV</v>
          </cell>
        </row>
        <row r="1151">
          <cell r="N1151" t="str">
            <v>18J00PA</v>
          </cell>
          <cell r="Q1151">
            <v>432115032942</v>
          </cell>
          <cell r="R1151" t="str">
            <v>HP-NB 18J00PA PAV X360 CONVT 14-DH1063TX</v>
          </cell>
        </row>
        <row r="1152">
          <cell r="N1152" t="str">
            <v>MEMORY</v>
          </cell>
          <cell r="Q1152">
            <v>432014024094</v>
          </cell>
          <cell r="R1152" t="str">
            <v>HP-NB LD5S08G56C46ST-BGS8GBDDR5SODIMMFOC</v>
          </cell>
        </row>
        <row r="1153">
          <cell r="N1153" t="str">
            <v>MEMORY</v>
          </cell>
          <cell r="Q1153">
            <v>432014024093</v>
          </cell>
          <cell r="R1153" t="str">
            <v>HP-NB LD5S08G56C46ST-BGS 8GB DDR5 SODIMM</v>
          </cell>
        </row>
        <row r="1154">
          <cell r="N1154" t="str">
            <v>M471A5244CB0-CWE</v>
          </cell>
          <cell r="Q1154">
            <v>432014021543</v>
          </cell>
          <cell r="R1154" t="str">
            <v>HP-NB M471A5244CB0-CWE 4GB RAM FOC</v>
          </cell>
        </row>
        <row r="1155">
          <cell r="N1155" t="str">
            <v>16GB RAM</v>
          </cell>
          <cell r="Q1155">
            <v>432014021477</v>
          </cell>
          <cell r="R1155" t="str">
            <v>HP-NB BUNDLE KCP548SS8-16 16GB 4800MT/S</v>
          </cell>
        </row>
        <row r="1156">
          <cell r="N1156" t="str">
            <v>FOR BUNDLE UPGRADE ONLY</v>
          </cell>
          <cell r="Q1156">
            <v>432014021361</v>
          </cell>
          <cell r="R1156" t="str">
            <v>HP-NB BUNDLE KVR32S22S6/8 3200MHZ SDIM</v>
          </cell>
        </row>
        <row r="1157">
          <cell r="N1157" t="str">
            <v>ADATA</v>
          </cell>
          <cell r="Q1157">
            <v>432014020801</v>
          </cell>
          <cell r="R1157" t="str">
            <v>HP BUNDLE AP120GAST280-1 SSD M.2 120GB</v>
          </cell>
        </row>
        <row r="1158">
          <cell r="N1158" t="str">
            <v>6J593PA</v>
          </cell>
          <cell r="Q1158">
            <v>432115034492</v>
          </cell>
          <cell r="R1158" t="str">
            <v>HP-NB 6J593PA PAVX360 14-EK0037TU</v>
          </cell>
        </row>
        <row r="1159">
          <cell r="N1159" t="str">
            <v>79J57PA</v>
          </cell>
          <cell r="Q1159">
            <v>432115034726</v>
          </cell>
          <cell r="R1159" t="str">
            <v>HP-NB 79J57PA PAV 15-EH2042AU</v>
          </cell>
        </row>
        <row r="1160">
          <cell r="N1160" t="str">
            <v>79J61PA</v>
          </cell>
          <cell r="Q1160">
            <v>432115034738</v>
          </cell>
          <cell r="R1160" t="str">
            <v>HP-NB 79J61PA VICTUS 15-FB0091AX</v>
          </cell>
        </row>
        <row r="1161">
          <cell r="N1161" t="str">
            <v>79J66PA</v>
          </cell>
          <cell r="Q1161">
            <v>432115034739</v>
          </cell>
          <cell r="R1161" t="str">
            <v>HP-NB 79J66PA VICTUS 16-D1176TX</v>
          </cell>
        </row>
        <row r="1162">
          <cell r="N1162" t="str">
            <v>80R07PA</v>
          </cell>
          <cell r="Q1162">
            <v>432115034911</v>
          </cell>
          <cell r="R1162" t="str">
            <v>HP-NB 80R07PA PAV 15-EH3108AU</v>
          </cell>
        </row>
        <row r="1163">
          <cell r="N1163" t="str">
            <v>86J54PA</v>
          </cell>
          <cell r="Q1163">
            <v>432115035007</v>
          </cell>
          <cell r="R1163" t="str">
            <v>HP-NB 86J54PA PAV 15-EH3052AU</v>
          </cell>
        </row>
        <row r="1164">
          <cell r="N1164" t="str">
            <v>86J49PA</v>
          </cell>
          <cell r="Q1164">
            <v>432115035010</v>
          </cell>
          <cell r="R1164" t="str">
            <v>HP-NB 86J49PA PAV PLUS 14-EH1011TX</v>
          </cell>
        </row>
        <row r="1165">
          <cell r="N1165" t="str">
            <v>86J51PA</v>
          </cell>
          <cell r="Q1165">
            <v>432115035014</v>
          </cell>
          <cell r="R1165" t="str">
            <v>HP-NB 86J51PA PAV X360 14-EK1062TU</v>
          </cell>
        </row>
        <row r="1166">
          <cell r="N1166" t="str">
            <v>86J75PA</v>
          </cell>
          <cell r="Q1166">
            <v>432115035016</v>
          </cell>
          <cell r="R1166" t="str">
            <v>HP-NB 86J75PA VICTUS 16-S0057AX</v>
          </cell>
        </row>
        <row r="1167">
          <cell r="N1167" t="str">
            <v>86J73PA</v>
          </cell>
          <cell r="Q1167">
            <v>432115035017</v>
          </cell>
          <cell r="R1167" t="str">
            <v>HP-NB 86J73PA VICTUS 16-R0085TX</v>
          </cell>
        </row>
        <row r="1168">
          <cell r="N1168" t="str">
            <v>86J74PA</v>
          </cell>
          <cell r="Q1168">
            <v>432115035018</v>
          </cell>
          <cell r="R1168" t="str">
            <v>HP-NB 86J74PA VICTUS 16-R0086TX</v>
          </cell>
        </row>
        <row r="1169">
          <cell r="N1169" t="str">
            <v>86J79PA</v>
          </cell>
          <cell r="Q1169">
            <v>432115035021</v>
          </cell>
          <cell r="R1169" t="str">
            <v>HP-NB 86J79PA OMEN 16-WF0070TX</v>
          </cell>
        </row>
        <row r="1170">
          <cell r="N1170" t="str">
            <v>8W376PA</v>
          </cell>
          <cell r="Q1170">
            <v>432115035258</v>
          </cell>
          <cell r="R1170" t="str">
            <v>HP-NB 8W376PA 15S-FQ5218TU</v>
          </cell>
        </row>
        <row r="1171">
          <cell r="N1171" t="str">
            <v>86J70PA</v>
          </cell>
          <cell r="Q1171">
            <v>432115035261</v>
          </cell>
          <cell r="R1171" t="str">
            <v>HP-NB 86J70PA 15S-FQ5158TU</v>
          </cell>
        </row>
        <row r="1172">
          <cell r="N1172" t="str">
            <v>8L3V0PA</v>
          </cell>
          <cell r="Q1172">
            <v>432115035142</v>
          </cell>
          <cell r="R1172" t="str">
            <v>HP-NB 8L3V0PA 15S-EQ2228AU SEMI EXCLSV</v>
          </cell>
        </row>
        <row r="1173">
          <cell r="N1173" t="str">
            <v>983L5PA</v>
          </cell>
          <cell r="Q1173">
            <v>432115035320</v>
          </cell>
          <cell r="R1173" t="str">
            <v>HP-NB 983L5PA PAV AERO 13-BE2114AU</v>
          </cell>
        </row>
        <row r="1174">
          <cell r="N1174" t="str">
            <v>983L8PA</v>
          </cell>
          <cell r="Q1174">
            <v>432115035321</v>
          </cell>
          <cell r="R1174" t="str">
            <v>HP-NB 983L8PA PAV PLUS 14-EW0071TU</v>
          </cell>
        </row>
        <row r="1175">
          <cell r="N1175" t="str">
            <v>983M9PA</v>
          </cell>
          <cell r="Q1175">
            <v>432115035324</v>
          </cell>
          <cell r="R1175" t="str">
            <v>HP-NB 983M9PA VICTUS 15-FA0217TX</v>
          </cell>
        </row>
        <row r="1176">
          <cell r="N1176" t="str">
            <v>983L9PA</v>
          </cell>
          <cell r="Q1176">
            <v>432115035316</v>
          </cell>
          <cell r="R1176" t="str">
            <v>HP-NB 983L9PA 14S-DQ3039TU</v>
          </cell>
        </row>
        <row r="1177">
          <cell r="N1177" t="str">
            <v>983M0PA</v>
          </cell>
          <cell r="Q1177">
            <v>432115035317</v>
          </cell>
          <cell r="R1177" t="str">
            <v>HP-NB 983M0PA 14S-DQ3041TU</v>
          </cell>
        </row>
        <row r="1178">
          <cell r="N1178" t="str">
            <v>983M3PA</v>
          </cell>
          <cell r="Q1178">
            <v>432115035379</v>
          </cell>
          <cell r="R1178" t="str">
            <v>HP-NB 983M3PA 15S-EQ2086AU SLEF</v>
          </cell>
        </row>
        <row r="1179">
          <cell r="N1179" t="str">
            <v>983M3PA</v>
          </cell>
          <cell r="Q1179">
            <v>432115035439</v>
          </cell>
          <cell r="R1179" t="str">
            <v>HP-NB 983M3PA 15S-EQ2086AU SLEF 16GB</v>
          </cell>
        </row>
        <row r="1180">
          <cell r="N1180" t="str">
            <v>9T9D4PA</v>
          </cell>
          <cell r="Q1180">
            <v>432115035451</v>
          </cell>
          <cell r="R1180" t="str">
            <v>HP-NB 9T9D4PA 14-EP0184TU</v>
          </cell>
        </row>
        <row r="1181">
          <cell r="N1181" t="str">
            <v>9W123PA</v>
          </cell>
          <cell r="Q1181">
            <v>432115035473</v>
          </cell>
          <cell r="R1181" t="str">
            <v>HP-NB 9W123PA 15S-FQ5346TU I3</v>
          </cell>
        </row>
        <row r="1182">
          <cell r="N1182" t="str">
            <v>9W117PA</v>
          </cell>
          <cell r="Q1182">
            <v>432115035474</v>
          </cell>
          <cell r="R1182" t="str">
            <v>HP-NB 9W117PA 15-FC0204AU R5</v>
          </cell>
        </row>
        <row r="1183">
          <cell r="N1183" t="str">
            <v>9W124PA</v>
          </cell>
          <cell r="Q1183">
            <v>432115035475</v>
          </cell>
          <cell r="R1183" t="str">
            <v>HP-NB 9W124PA 15S-FQ5347TU I5</v>
          </cell>
        </row>
        <row r="1184">
          <cell r="N1184" t="str">
            <v>9W118PA</v>
          </cell>
          <cell r="Q1184">
            <v>432115035477</v>
          </cell>
          <cell r="R1184" t="str">
            <v>HP-NB 9W118PA 15-FC0205AU R7</v>
          </cell>
        </row>
        <row r="1185">
          <cell r="N1185" t="str">
            <v>9W125PA</v>
          </cell>
          <cell r="Q1185">
            <v>432115035478</v>
          </cell>
          <cell r="R1185" t="str">
            <v>HP-NB 9W125PA 15S-FQ5348TU I7</v>
          </cell>
        </row>
        <row r="1186">
          <cell r="N1186" t="str">
            <v>9W116PA</v>
          </cell>
          <cell r="Q1186">
            <v>432115035480</v>
          </cell>
          <cell r="R1186" t="str">
            <v>HP-NB 9W116PA PAV 15-EG3127TU I7</v>
          </cell>
        </row>
        <row r="1187">
          <cell r="N1187" t="str">
            <v>9W7Y4PA</v>
          </cell>
          <cell r="Q1187">
            <v>432115035481</v>
          </cell>
          <cell r="R1187" t="str">
            <v>HP-NB 9W7Y4PA ENVY X360 14-FC0064TU U5</v>
          </cell>
        </row>
        <row r="1188">
          <cell r="N1188" t="str">
            <v>9W7Y5PA</v>
          </cell>
          <cell r="Q1188">
            <v>432115035482</v>
          </cell>
          <cell r="R1188" t="str">
            <v>HP-NB 9W7Y5PA ENVY X360 14-FC0065TU U7</v>
          </cell>
        </row>
        <row r="1189">
          <cell r="N1189" t="str">
            <v>9W7Y6PA</v>
          </cell>
          <cell r="Q1189">
            <v>432115035483</v>
          </cell>
          <cell r="R1189" t="str">
            <v>HP-NB 9W7Y6PA ENVY X360 14-FC0066TU U7</v>
          </cell>
        </row>
        <row r="1190">
          <cell r="N1190" t="str">
            <v>A29K8PA</v>
          </cell>
          <cell r="Q1190">
            <v>432115035734</v>
          </cell>
          <cell r="R1190" t="str">
            <v>HP-NB A29K8PA VICTUS 16-R1169TX I7</v>
          </cell>
        </row>
        <row r="1191">
          <cell r="N1191" t="str">
            <v>A29K9PA</v>
          </cell>
          <cell r="Q1191">
            <v>432115035735</v>
          </cell>
          <cell r="R1191" t="str">
            <v>HP-NB A29K9PA VICTUS 16-R1170TX I7</v>
          </cell>
        </row>
        <row r="1192">
          <cell r="N1192" t="str">
            <v>A46S3PA</v>
          </cell>
          <cell r="Q1192">
            <v>432115035718</v>
          </cell>
          <cell r="R1192" t="str">
            <v>HP-NB A46S3PA ENVY X360 14-FC0134TU U7</v>
          </cell>
        </row>
        <row r="1193">
          <cell r="N1193" t="str">
            <v>A29K4PA</v>
          </cell>
          <cell r="Q1193">
            <v>432115035726</v>
          </cell>
          <cell r="R1193" t="str">
            <v>HP-NB A29K4PA VICTUS 16-R1165TX I5</v>
          </cell>
        </row>
        <row r="1194">
          <cell r="N1194" t="str">
            <v>A29K5PA</v>
          </cell>
          <cell r="Q1194">
            <v>432115035727</v>
          </cell>
          <cell r="R1194" t="str">
            <v>HP-NB A29K5PA VICTUS 16-R1166TX I5</v>
          </cell>
        </row>
        <row r="1195">
          <cell r="N1195" t="str">
            <v>A4RM0PA</v>
          </cell>
          <cell r="Q1195">
            <v>432115035723</v>
          </cell>
          <cell r="R1195" t="str">
            <v>HP-NB A4RM0PA VICTUS 16-R0106TX I5</v>
          </cell>
        </row>
        <row r="1196">
          <cell r="N1196" t="str">
            <v>A29KGPA</v>
          </cell>
          <cell r="Q1196">
            <v>432115035724</v>
          </cell>
          <cell r="R1196" t="str">
            <v>HP-NB A29KGPA VICTUS 16-S1556AX R5</v>
          </cell>
        </row>
        <row r="1197">
          <cell r="N1197" t="str">
            <v>A29KHPA</v>
          </cell>
          <cell r="Q1197">
            <v>432115035725</v>
          </cell>
          <cell r="R1197" t="str">
            <v>HP-NB A29KHPA VICTUS 16-S1557AX R5</v>
          </cell>
        </row>
        <row r="1198">
          <cell r="N1198" t="str">
            <v>A29KDPA</v>
          </cell>
          <cell r="Q1198">
            <v>432115035732</v>
          </cell>
          <cell r="R1198" t="str">
            <v>HP-NB A29KDPA VICTUS 16-S1094AX R7</v>
          </cell>
        </row>
        <row r="1199">
          <cell r="N1199" t="str">
            <v>A29KFPA</v>
          </cell>
          <cell r="Q1199">
            <v>432115035733</v>
          </cell>
          <cell r="R1199" t="str">
            <v>HP-NB A29KFPA VICTUS 16-S1095AX R7</v>
          </cell>
        </row>
        <row r="1200">
          <cell r="N1200" t="str">
            <v>A4HX3PA</v>
          </cell>
          <cell r="Q1200">
            <v>432115035706</v>
          </cell>
          <cell r="R1200" t="str">
            <v>HP-NB A4HX3PA 14-EP1039TU CORE3</v>
          </cell>
        </row>
        <row r="1201">
          <cell r="N1201" t="str">
            <v>A46RZPA</v>
          </cell>
          <cell r="Q1201">
            <v>432115035711</v>
          </cell>
          <cell r="R1201" t="str">
            <v>HP-NB A46RZPA PAV AERO  13-BG0038AU R5</v>
          </cell>
        </row>
        <row r="1202">
          <cell r="N1202" t="str">
            <v>A46T4PA</v>
          </cell>
          <cell r="Q1202">
            <v>432115035714</v>
          </cell>
          <cell r="R1202" t="str">
            <v>HP-NB A46T4PA PAV PLUS  14-EW1079TU U7</v>
          </cell>
        </row>
        <row r="1203">
          <cell r="N1203" t="str">
            <v>A46S2PA</v>
          </cell>
          <cell r="Q1203">
            <v>432115035715</v>
          </cell>
          <cell r="R1203" t="str">
            <v>HP-NB A46S2PA ENVY X360 14-FA0070AU R5</v>
          </cell>
        </row>
        <row r="1204">
          <cell r="N1204" t="str">
            <v>9U5D4PA</v>
          </cell>
          <cell r="Q1204">
            <v>432115035786</v>
          </cell>
          <cell r="R1204" t="str">
            <v>HP-NB 9U5D4PA 15S-EQ2317AU EXCLUSIVE16GB</v>
          </cell>
        </row>
        <row r="1205">
          <cell r="N1205" t="str">
            <v>A4TD0PA</v>
          </cell>
          <cell r="Q1205">
            <v>432115035751</v>
          </cell>
          <cell r="R1205" t="str">
            <v>HP-NB A4TD0PA VICTUS 16-S0021AX</v>
          </cell>
        </row>
        <row r="1206">
          <cell r="N1206" t="str">
            <v>A4ME7PA</v>
          </cell>
          <cell r="Q1206">
            <v>432115035752</v>
          </cell>
          <cell r="R1206" t="str">
            <v>HP-NB A4ME7PA VICTUS 15-FB2077AX SLEF</v>
          </cell>
        </row>
        <row r="1207">
          <cell r="N1207" t="str">
            <v>AD6U6PA</v>
          </cell>
          <cell r="Q1207">
            <v>432115035863</v>
          </cell>
          <cell r="R1207" t="str">
            <v>HP-NB AD6U6PA 15-FC0274AU XCLSV</v>
          </cell>
        </row>
        <row r="1208">
          <cell r="N1208" t="str">
            <v>B0LF5PA</v>
          </cell>
          <cell r="Q1208">
            <v>432115035923</v>
          </cell>
          <cell r="R1208" t="str">
            <v>HP-NB B0LF5PA 15-FC0317AU SLEF</v>
          </cell>
        </row>
        <row r="1209">
          <cell r="N1209" t="str">
            <v>B14ZCPA</v>
          </cell>
          <cell r="Q1209">
            <v>432115035940</v>
          </cell>
          <cell r="R1209" t="str">
            <v>HP-NB B14ZCPA OMNIBOOK X 14-FE1009QU</v>
          </cell>
        </row>
        <row r="1210">
          <cell r="N1210" t="str">
            <v>B14Z9PA</v>
          </cell>
          <cell r="Q1210">
            <v>432115035941</v>
          </cell>
          <cell r="R1210" t="str">
            <v>HP-NB B14Z9PA OMNIBOOK X 14-FE0015QU</v>
          </cell>
        </row>
        <row r="1211">
          <cell r="N1211" t="str">
            <v>DW7W9PA</v>
          </cell>
          <cell r="Q1211">
            <v>432115036900</v>
          </cell>
          <cell r="R1211" t="str">
            <v>HP-NB DW7W9PA OMNIBOOK 3 14-HT0092TU SV</v>
          </cell>
        </row>
        <row r="1212">
          <cell r="N1212" t="str">
            <v>E6GG2PA</v>
          </cell>
          <cell r="Q1212">
            <v>432115037087</v>
          </cell>
          <cell r="R1212" t="str">
            <v>HP-NB E6GG2PA OMNIBK3 AI PC 14-HT0271TU</v>
          </cell>
        </row>
        <row r="1213">
          <cell r="N1213" t="str">
            <v>E6GG0PA</v>
          </cell>
          <cell r="Q1213">
            <v>432115037086</v>
          </cell>
          <cell r="R1213" t="str">
            <v>HP-NB E6GG0PA OMNIBK3 AI PC 14-HT0270TU</v>
          </cell>
        </row>
        <row r="1214">
          <cell r="N1214" t="str">
            <v>E6GG3PA</v>
          </cell>
          <cell r="Q1214">
            <v>432115037085</v>
          </cell>
          <cell r="R1214" t="str">
            <v>HP-NB E6GG3PA OMNIBK3 NGAI PC14-HZ0098QU</v>
          </cell>
        </row>
        <row r="1215">
          <cell r="N1215" t="str">
            <v>E6GG6PA</v>
          </cell>
          <cell r="Q1215">
            <v>432115037084</v>
          </cell>
          <cell r="R1215" t="str">
            <v>HP-NB E6GG6PA OMNIBK3 NGAI PC14-HZ0101QU</v>
          </cell>
        </row>
        <row r="1216">
          <cell r="N1216" t="str">
            <v>E6GG4PA</v>
          </cell>
          <cell r="Q1216">
            <v>432115037083</v>
          </cell>
          <cell r="R1216" t="str">
            <v>HP-NB E6GG4PA OMNIBK3 NGAI PC14-HZ0099QU</v>
          </cell>
        </row>
        <row r="1217">
          <cell r="N1217" t="str">
            <v>V0L82AA</v>
          </cell>
          <cell r="Q1217">
            <v>432117081322</v>
          </cell>
          <cell r="R1217" t="str">
            <v>HP-NB BUNDLE V0L82AA Z3700 RED XCLSV</v>
          </cell>
        </row>
        <row r="1218">
          <cell r="N1218" t="str">
            <v>428H6AA</v>
          </cell>
          <cell r="Q1218">
            <v>521615143000</v>
          </cell>
          <cell r="R1218" t="str">
            <v>HP-NB BUNDLE 428H6AA WIRED 3.5MM ST HS</v>
          </cell>
        </row>
        <row r="1219">
          <cell r="N1219" t="str">
            <v>A29K3PA</v>
          </cell>
          <cell r="Q1219">
            <v>432115035722</v>
          </cell>
          <cell r="R1219" t="str">
            <v>HP-NB A29K3PA VICTUS 15-FB1041AX R5</v>
          </cell>
        </row>
        <row r="1220">
          <cell r="N1220" t="str">
            <v>A46S6PA</v>
          </cell>
          <cell r="Q1220">
            <v>432115035705</v>
          </cell>
          <cell r="R1220" t="str">
            <v>HP-NB A46S6PA 15S-EQ2340AU R3</v>
          </cell>
        </row>
        <row r="1221">
          <cell r="N1221" t="str">
            <v>86J69PA</v>
          </cell>
          <cell r="Q1221">
            <v>432115035866</v>
          </cell>
          <cell r="R1221" t="str">
            <v>HP-NB 86J69PA 15-FD0130TU 20GB</v>
          </cell>
        </row>
        <row r="1222">
          <cell r="N1222" t="str">
            <v>E47WNPA</v>
          </cell>
          <cell r="Q1222">
            <v>432115037064</v>
          </cell>
          <cell r="R1222" t="str">
            <v>HP-NB E47WNPA 15-FC0289AU NATURAL SILVER</v>
          </cell>
        </row>
        <row r="1223">
          <cell r="N1223" t="str">
            <v>E47WPPA</v>
          </cell>
          <cell r="Q1223">
            <v>432115037065</v>
          </cell>
          <cell r="R1223" t="str">
            <v>HP-NB E47WPPA 15-FC0523AU NATURAL SILVER</v>
          </cell>
        </row>
        <row r="1224">
          <cell r="N1224" t="str">
            <v>E6GG7PA</v>
          </cell>
          <cell r="Q1224">
            <v>432115037066</v>
          </cell>
          <cell r="R1224" t="str">
            <v>HP-NB E6GG7PA 15-FD1674TU NATURAL SILVER</v>
          </cell>
        </row>
        <row r="1225">
          <cell r="N1225" t="str">
            <v>E2HE2PA</v>
          </cell>
          <cell r="Q1225">
            <v>432115037067</v>
          </cell>
          <cell r="R1225" t="str">
            <v>HP-NB E2HE2PA 15-FD1655TU NATURAL SILVER</v>
          </cell>
        </row>
        <row r="1226">
          <cell r="N1226" t="str">
            <v>E4PN6PA</v>
          </cell>
          <cell r="Q1226">
            <v>432115037068</v>
          </cell>
          <cell r="R1226" t="str">
            <v>HP-NB E4PN6PA 15-FC0998AU NATURAL SILVER</v>
          </cell>
        </row>
        <row r="1227">
          <cell r="N1227" t="str">
            <v>E6GG5PA</v>
          </cell>
          <cell r="Q1227">
            <v>432115037082</v>
          </cell>
          <cell r="R1227" t="str">
            <v>HP-NB E6GG5PA OMNIBK3 NGAI PC14-HZ0100QU</v>
          </cell>
        </row>
        <row r="1228">
          <cell r="N1228" t="str">
            <v>E5MC9PA</v>
          </cell>
          <cell r="Q1228">
            <v>432115037081</v>
          </cell>
          <cell r="R1228" t="str">
            <v>HP-NB E5MC9PA OMNIBK3 NGAI PC14-HZ0093QU</v>
          </cell>
        </row>
        <row r="1229">
          <cell r="N1229" t="str">
            <v>E5MC8PA</v>
          </cell>
          <cell r="Q1229">
            <v>432115037080</v>
          </cell>
          <cell r="R1229" t="str">
            <v>HP-NB E5MC8PA OMNIBK3 NGAI PC14-HZ0092QU</v>
          </cell>
        </row>
        <row r="1230">
          <cell r="N1230" t="str">
            <v>E6GH0PA</v>
          </cell>
          <cell r="Q1230">
            <v>432115037079</v>
          </cell>
          <cell r="R1230" t="str">
            <v>HP-NB E6GH0PA OMNIBK3 AI PC 16-CT0045QU</v>
          </cell>
        </row>
        <row r="1231">
          <cell r="N1231" t="str">
            <v>E5MD3PA</v>
          </cell>
          <cell r="Q1231">
            <v>432115037078</v>
          </cell>
          <cell r="R1231" t="str">
            <v>HP-NB E5MD3PA OMNIBK3 AI PC 16-CT0027QU</v>
          </cell>
        </row>
        <row r="1232">
          <cell r="N1232" t="str">
            <v>E6RZ4PA</v>
          </cell>
          <cell r="Q1232">
            <v>432115037098</v>
          </cell>
          <cell r="R1232" t="str">
            <v>HP-NB E6RZ4PA OMNIBK3 16-BU0397TU</v>
          </cell>
        </row>
        <row r="1233">
          <cell r="N1233" t="str">
            <v>E47WMPA</v>
          </cell>
          <cell r="Q1233">
            <v>432115037097</v>
          </cell>
          <cell r="R1233" t="str">
            <v>HP-NB E47WMPA OMNIBK3 14-HY0100AU</v>
          </cell>
        </row>
        <row r="1234">
          <cell r="N1234" t="str">
            <v>E5MC7PA</v>
          </cell>
          <cell r="Q1234">
            <v>432115037095</v>
          </cell>
          <cell r="R1234" t="str">
            <v>HP-NB E5MC7PA OBKX FLIP NGAI 14-FM0208TU</v>
          </cell>
        </row>
        <row r="1235">
          <cell r="N1235" t="str">
            <v>E5MC6PA</v>
          </cell>
          <cell r="Q1235">
            <v>432115037094</v>
          </cell>
          <cell r="R1235" t="str">
            <v>HP-NB E5MC6PA OBKX FLIP NGAI 14-FM0206TU</v>
          </cell>
        </row>
        <row r="1236">
          <cell r="N1236" t="str">
            <v>E2HE1PA</v>
          </cell>
          <cell r="Q1236">
            <v>432115037093</v>
          </cell>
          <cell r="R1236" t="str">
            <v>HP-NB E2HE1PA OMNIBK7 NGAI 14-HG0080TU</v>
          </cell>
        </row>
        <row r="1237">
          <cell r="N1237" t="str">
            <v>E2HE0PA</v>
          </cell>
          <cell r="Q1237">
            <v>432115037092</v>
          </cell>
          <cell r="R1237" t="str">
            <v>HP-NB E2HE0PA OMNIBK7 NGAI 14-HG0079TU</v>
          </cell>
        </row>
        <row r="1238">
          <cell r="N1238" t="str">
            <v>E6GG9PA</v>
          </cell>
          <cell r="Q1238">
            <v>432115037091</v>
          </cell>
          <cell r="R1238" t="str">
            <v>HP-NB E6GG9PA OMNIBK3 16-BU0393TU</v>
          </cell>
        </row>
        <row r="1239">
          <cell r="N1239" t="str">
            <v>E47WSPA</v>
          </cell>
          <cell r="Q1239">
            <v>432115037090</v>
          </cell>
          <cell r="R1239" t="str">
            <v>HP-NB E47WSPA OMNIBK3 16-BU0384TU</v>
          </cell>
        </row>
        <row r="1240">
          <cell r="N1240" t="str">
            <v>E6GG8PA</v>
          </cell>
          <cell r="Q1240">
            <v>432115037089</v>
          </cell>
          <cell r="R1240" t="str">
            <v>HP-NB E6GG8PA OMNIBK3 16-BY0121AU</v>
          </cell>
        </row>
        <row r="1241">
          <cell r="N1241" t="str">
            <v>E6RZ5PA</v>
          </cell>
          <cell r="Q1241">
            <v>432115037088</v>
          </cell>
          <cell r="R1241" t="str">
            <v>HP-NB E6RZ5PA OMNIBK3 16-BU0398TU</v>
          </cell>
        </row>
        <row r="1242">
          <cell r="N1242" t="str">
            <v>676A2AA</v>
          </cell>
          <cell r="Q1242">
            <v>521615143207</v>
          </cell>
          <cell r="R1242" t="str">
            <v>HP-NB BUNDLE 676A2AAHXCLOUD STINGERIIWL</v>
          </cell>
        </row>
        <row r="1243">
          <cell r="N1243" t="str">
            <v>683L9AA</v>
          </cell>
          <cell r="Q1243">
            <v>521615143208</v>
          </cell>
          <cell r="R1243" t="str">
            <v>HP-NB BUNDLE 683L9AAHXCLOUDSTINGERCOREII</v>
          </cell>
        </row>
        <row r="1244">
          <cell r="N1244" t="str">
            <v>MEMORY</v>
          </cell>
          <cell r="Q1244">
            <v>432014024103</v>
          </cell>
          <cell r="R1244" t="str">
            <v>HP-NB LD4AS008G-B3200GSST 8GB DDR4SODIMM</v>
          </cell>
        </row>
        <row r="1245">
          <cell r="N1245" t="str">
            <v>AMTI</v>
          </cell>
          <cell r="Q1245">
            <v>141116080050</v>
          </cell>
          <cell r="R1245" t="str">
            <v>HP-NB AMTI COGNIZANT CERT</v>
          </cell>
        </row>
        <row r="1246">
          <cell r="N1246" t="str">
            <v>6B8U6AA</v>
          </cell>
          <cell r="Q1246">
            <v>241215000019</v>
          </cell>
          <cell r="R1246" t="str">
            <v>HP-NB BUNDLE 6B8U6AA TRAVEL BAG</v>
          </cell>
        </row>
        <row r="1247">
          <cell r="N1247" t="str">
            <v>500S6AA</v>
          </cell>
          <cell r="Q1247">
            <v>531217060297</v>
          </cell>
          <cell r="R1247" t="str">
            <v>HP-NB BUNDLE 500S6AA 17.3IN PRO BAG</v>
          </cell>
        </row>
        <row r="1248">
          <cell r="N1248" t="str">
            <v>6VY96AA</v>
          </cell>
          <cell r="Q1248">
            <v>432117080662</v>
          </cell>
          <cell r="R1248" t="str">
            <v>HP-NB 6VY96AA WIRED MOUSE 100 FOC</v>
          </cell>
        </row>
        <row r="1249">
          <cell r="N1249" t="str">
            <v>BUNDLE SSD</v>
          </cell>
          <cell r="Q1249">
            <v>432018300009</v>
          </cell>
          <cell r="R1249" t="str">
            <v>HP-NB BUNDLE KT SXS1000/1000G 1TB EXTSSD</v>
          </cell>
        </row>
        <row r="1250">
          <cell r="N1250" t="str">
            <v>DELETE</v>
          </cell>
          <cell r="Q1250">
            <v>432014024104</v>
          </cell>
          <cell r="R1250" t="str">
            <v>HP-NB AD4S32008G22-SGN/8GB 3200MHZSODIM4</v>
          </cell>
        </row>
        <row r="1251">
          <cell r="N1251" t="str">
            <v>E2HE3PA</v>
          </cell>
          <cell r="Q1251">
            <v>432115037139</v>
          </cell>
          <cell r="R1251" t="str">
            <v>HP-NB E2HE3PA 15-FD1656TU CORE 5</v>
          </cell>
        </row>
        <row r="1252">
          <cell r="N1252" t="str">
            <v>DELETE</v>
          </cell>
          <cell r="Q1252">
            <v>432116090307</v>
          </cell>
          <cell r="R1252" t="str">
            <v>HP-NB SXS2000/2000GA EXT SSD 2TB BLACK</v>
          </cell>
        </row>
        <row r="1253">
          <cell r="N1253" t="str">
            <v>DELETE</v>
          </cell>
          <cell r="Q1253">
            <v>432116090306</v>
          </cell>
          <cell r="R1253" t="str">
            <v>HP-NB SXS2000/1000GA EXT SSD 1TB BLACK</v>
          </cell>
        </row>
        <row r="1254">
          <cell r="N1254" t="str">
            <v>DW8J8PA</v>
          </cell>
          <cell r="Q1254">
            <v>432115036926</v>
          </cell>
          <cell r="R1254" t="str">
            <v>HP-NB DW8J8PA OBKX FLIP NGAI 14-KC0039AU</v>
          </cell>
        </row>
        <row r="1255">
          <cell r="N1255" t="str">
            <v>DM8L6PA</v>
          </cell>
          <cell r="Q1255">
            <v>432115037143</v>
          </cell>
          <cell r="R1255" t="str">
            <v>HP-NB DM8L6PA 15-FC0932AU 16GB SILVER</v>
          </cell>
        </row>
        <row r="1256">
          <cell r="N1256" t="str">
            <v>DW7W9PA</v>
          </cell>
          <cell r="Q1256">
            <v>432115037142</v>
          </cell>
          <cell r="R1256" t="str">
            <v>HP-NB DW7W9PA OMNIBK3 14HT0092TU 16GB SV</v>
          </cell>
        </row>
        <row r="1257">
          <cell r="N1257" t="str">
            <v>DJ8T8PA</v>
          </cell>
          <cell r="Q1257">
            <v>432115037141</v>
          </cell>
          <cell r="R1257" t="str">
            <v>HP-NB DJ8T8PA 15-FD1618TU 16GB SILVER</v>
          </cell>
        </row>
        <row r="1258">
          <cell r="Q1258">
            <v>261117010589</v>
          </cell>
          <cell r="R1258" t="str">
            <v>HP-NB BUNDLE UGREENPB726/95670B 20000MAH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E742C-CFB6-4480-A0DE-B240110FF6C4}">
  <dimension ref="B2:M41"/>
  <sheetViews>
    <sheetView tabSelected="1" topLeftCell="D16" zoomScaleNormal="100" workbookViewId="0">
      <selection activeCell="K36" sqref="K36"/>
    </sheetView>
  </sheetViews>
  <sheetFormatPr defaultRowHeight="14.25" x14ac:dyDescent="0.45"/>
  <cols>
    <col min="2" max="2" width="11" bestFit="1" customWidth="1"/>
    <col min="3" max="3" width="15.73046875" bestFit="1" customWidth="1"/>
    <col min="4" max="4" width="14.265625" bestFit="1" customWidth="1"/>
    <col min="5" max="5" width="14" bestFit="1" customWidth="1"/>
    <col min="6" max="6" width="39.1328125" bestFit="1" customWidth="1"/>
    <col min="7" max="7" width="8" customWidth="1"/>
    <col min="8" max="8" width="12.265625" bestFit="1" customWidth="1"/>
    <col min="9" max="11" width="12.265625" customWidth="1"/>
    <col min="13" max="13" width="38.73046875" bestFit="1" customWidth="1"/>
  </cols>
  <sheetData>
    <row r="2" spans="2:13" x14ac:dyDescent="0.45">
      <c r="B2" t="s">
        <v>62</v>
      </c>
      <c r="C2" t="s">
        <v>61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126</v>
      </c>
      <c r="K2" t="s">
        <v>63</v>
      </c>
      <c r="L2" t="s">
        <v>64</v>
      </c>
      <c r="M2" t="s">
        <v>127</v>
      </c>
    </row>
    <row r="3" spans="2:13" x14ac:dyDescent="0.45">
      <c r="B3" t="str">
        <f>_xlfn.XLOOKUP(F3,'[1]non-gaming'!$G:$G,'[1]non-gaming'!$D:$D)</f>
        <v>DM8L5PA</v>
      </c>
      <c r="C3" s="2">
        <f>VLOOKUP(B3,'[2]ZMATINFO NB - 0924'!$N:$R,4,0)</f>
        <v>432115036894</v>
      </c>
      <c r="D3" t="s">
        <v>43</v>
      </c>
      <c r="E3" t="s">
        <v>0</v>
      </c>
      <c r="F3" t="s">
        <v>1</v>
      </c>
      <c r="G3" t="s">
        <v>2</v>
      </c>
      <c r="H3" s="1">
        <v>56990</v>
      </c>
      <c r="I3" s="1">
        <f>H3*0.85</f>
        <v>48441.5</v>
      </c>
      <c r="J3" s="1"/>
      <c r="K3" s="1"/>
      <c r="L3" t="s">
        <v>65</v>
      </c>
    </row>
    <row r="4" spans="2:13" x14ac:dyDescent="0.45">
      <c r="B4" t="str">
        <f>_xlfn.XLOOKUP(F4,'[1]non-gaming'!$G:$G,'[1]non-gaming'!$D:$D)</f>
        <v>DJ8T8PA</v>
      </c>
      <c r="C4" s="2">
        <f>VLOOKUP(B4,'[2]ZMATINFO NB - 0924'!$N:$R,4,0)</f>
        <v>432115036895</v>
      </c>
      <c r="D4" t="s">
        <v>44</v>
      </c>
      <c r="E4" t="s">
        <v>0</v>
      </c>
      <c r="F4" t="s">
        <v>3</v>
      </c>
      <c r="G4" t="s">
        <v>4</v>
      </c>
      <c r="H4" s="1">
        <v>62990</v>
      </c>
      <c r="I4" s="1">
        <f t="shared" ref="I4:I40" si="0">H4*0.85</f>
        <v>53541.5</v>
      </c>
      <c r="J4" s="1">
        <v>58990</v>
      </c>
      <c r="K4" s="17">
        <f>J4*0.8</f>
        <v>47192</v>
      </c>
      <c r="L4" t="s">
        <v>65</v>
      </c>
      <c r="M4" t="s">
        <v>138</v>
      </c>
    </row>
    <row r="5" spans="2:13" x14ac:dyDescent="0.45">
      <c r="B5" t="str">
        <f>_xlfn.XLOOKUP(F5,'[1]non-gaming'!$G:$G,'[1]non-gaming'!$D:$D)</f>
        <v>DU5U6PA</v>
      </c>
      <c r="C5" s="2">
        <f>VLOOKUP(B5,'[2]ZMATINFO NB - 0924'!$N:$R,4,0)</f>
        <v>432115036897</v>
      </c>
      <c r="D5" t="s">
        <v>43</v>
      </c>
      <c r="E5" t="s">
        <v>0</v>
      </c>
      <c r="F5" t="s">
        <v>5</v>
      </c>
      <c r="G5" t="s">
        <v>6</v>
      </c>
      <c r="H5" s="1">
        <v>58990</v>
      </c>
      <c r="I5" s="1">
        <f t="shared" si="0"/>
        <v>50141.5</v>
      </c>
      <c r="J5" s="1"/>
      <c r="K5" s="1"/>
      <c r="L5" t="s">
        <v>65</v>
      </c>
    </row>
    <row r="6" spans="2:13" x14ac:dyDescent="0.45">
      <c r="B6" t="str">
        <f>_xlfn.XLOOKUP(F6,'[1]non-gaming'!$G:$G,'[1]non-gaming'!$D:$D)</f>
        <v>DW4U8PA</v>
      </c>
      <c r="C6" s="2">
        <f>VLOOKUP(B6,'[2]ZMATINFO NB - 0924'!$N:$R,4,0)</f>
        <v>432115036898</v>
      </c>
      <c r="D6" t="s">
        <v>45</v>
      </c>
      <c r="E6" t="s">
        <v>57</v>
      </c>
      <c r="F6" t="s">
        <v>7</v>
      </c>
      <c r="G6" t="s">
        <v>8</v>
      </c>
      <c r="H6" s="1">
        <v>60990</v>
      </c>
      <c r="I6" s="1">
        <f t="shared" si="0"/>
        <v>51841.5</v>
      </c>
      <c r="J6" s="1">
        <v>44990</v>
      </c>
      <c r="K6" s="1">
        <f>J6*0.85</f>
        <v>38241.5</v>
      </c>
      <c r="L6" t="s">
        <v>65</v>
      </c>
      <c r="M6" t="s">
        <v>128</v>
      </c>
    </row>
    <row r="7" spans="2:13" x14ac:dyDescent="0.45">
      <c r="B7" t="str">
        <f>_xlfn.XLOOKUP(F7,'[1]non-gaming'!$G:$G,'[1]non-gaming'!$D:$D)</f>
        <v>DW4U9PA</v>
      </c>
      <c r="C7" s="2">
        <f>VLOOKUP(B7,'[2]ZMATINFO NB - 0924'!$N:$R,4,0)</f>
        <v>432115036899</v>
      </c>
      <c r="D7" t="s">
        <v>45</v>
      </c>
      <c r="E7" t="s">
        <v>57</v>
      </c>
      <c r="F7" t="s">
        <v>9</v>
      </c>
      <c r="G7" t="s">
        <v>10</v>
      </c>
      <c r="H7" s="1">
        <v>60990</v>
      </c>
      <c r="I7" s="1">
        <f t="shared" si="0"/>
        <v>51841.5</v>
      </c>
      <c r="J7" s="1">
        <v>44990</v>
      </c>
      <c r="K7" s="1">
        <f>J7*0.85</f>
        <v>38241.5</v>
      </c>
      <c r="L7" t="s">
        <v>65</v>
      </c>
      <c r="M7" t="s">
        <v>137</v>
      </c>
    </row>
    <row r="8" spans="2:13" x14ac:dyDescent="0.45">
      <c r="B8" t="str">
        <f>_xlfn.XLOOKUP(F8,'[1]non-gaming'!$G:$G,'[1]non-gaming'!$D:$D)</f>
        <v>DW7W9PA</v>
      </c>
      <c r="C8" s="2">
        <f>VLOOKUP(B8,'[2]ZMATINFO NB - 0924'!$N:$R,4,0)</f>
        <v>432115036900</v>
      </c>
      <c r="D8" t="s">
        <v>45</v>
      </c>
      <c r="E8" t="s">
        <v>57</v>
      </c>
      <c r="F8" t="s">
        <v>11</v>
      </c>
      <c r="G8" t="s">
        <v>12</v>
      </c>
      <c r="H8" s="1">
        <v>64990</v>
      </c>
      <c r="I8" s="1">
        <f t="shared" si="0"/>
        <v>55241.5</v>
      </c>
      <c r="J8" s="1">
        <v>60990</v>
      </c>
      <c r="K8" s="1">
        <f>J8*0.85</f>
        <v>51841.5</v>
      </c>
      <c r="L8" t="s">
        <v>65</v>
      </c>
      <c r="M8" t="s">
        <v>129</v>
      </c>
    </row>
    <row r="9" spans="2:13" x14ac:dyDescent="0.45">
      <c r="B9" t="str">
        <f>_xlfn.XLOOKUP(F9,'[1]non-gaming'!$G:$G,'[1]non-gaming'!$D:$D)</f>
        <v>DJ8T4PA</v>
      </c>
      <c r="C9" s="2">
        <f>VLOOKUP(B9,'[2]ZMATINFO NB - 0924'!$N:$R,4,0)</f>
        <v>432115036903</v>
      </c>
      <c r="D9" t="s">
        <v>46</v>
      </c>
      <c r="E9" t="s">
        <v>58</v>
      </c>
      <c r="F9" t="s">
        <v>13</v>
      </c>
      <c r="G9" t="s">
        <v>14</v>
      </c>
      <c r="H9" s="1">
        <v>85990</v>
      </c>
      <c r="I9" s="1">
        <f t="shared" si="0"/>
        <v>73091.5</v>
      </c>
      <c r="J9" s="1"/>
      <c r="K9" s="1">
        <f t="shared" ref="K9:K11" si="1">H9*0.8</f>
        <v>68792</v>
      </c>
      <c r="L9" t="s">
        <v>65</v>
      </c>
      <c r="M9" t="s">
        <v>135</v>
      </c>
    </row>
    <row r="10" spans="2:13" x14ac:dyDescent="0.45">
      <c r="B10" t="str">
        <f>_xlfn.XLOOKUP(F10,'[1]non-gaming'!$G:$G,'[1]non-gaming'!$D:$D)</f>
        <v>DX4J7PA</v>
      </c>
      <c r="C10" s="2">
        <f>VLOOKUP(B10,'[2]ZMATINFO NB - 0924'!$N:$R,4,0)</f>
        <v>432115036904</v>
      </c>
      <c r="D10" t="s">
        <v>47</v>
      </c>
      <c r="E10" t="s">
        <v>58</v>
      </c>
      <c r="F10" t="s">
        <v>15</v>
      </c>
      <c r="G10" t="s">
        <v>16</v>
      </c>
      <c r="H10" s="1">
        <v>87990</v>
      </c>
      <c r="I10" s="1">
        <f t="shared" si="0"/>
        <v>74791.5</v>
      </c>
      <c r="J10" s="1"/>
      <c r="K10" s="1">
        <f t="shared" si="1"/>
        <v>70392</v>
      </c>
      <c r="L10" t="s">
        <v>65</v>
      </c>
      <c r="M10" t="s">
        <v>128</v>
      </c>
    </row>
    <row r="11" spans="2:13" x14ac:dyDescent="0.45">
      <c r="B11" t="str">
        <f>_xlfn.XLOOKUP(F11,'[1]non-gaming'!$G:$G,'[1]non-gaming'!$D:$D)</f>
        <v>DU5R6PA</v>
      </c>
      <c r="C11" s="2">
        <f>VLOOKUP(B11,'[2]ZMATINFO NB - 0924'!$N:$R,4,0)</f>
        <v>432115036907</v>
      </c>
      <c r="D11" t="s">
        <v>48</v>
      </c>
      <c r="E11" t="s">
        <v>59</v>
      </c>
      <c r="F11" t="s">
        <v>17</v>
      </c>
      <c r="G11" t="s">
        <v>18</v>
      </c>
      <c r="H11" s="1">
        <v>80990</v>
      </c>
      <c r="I11" s="1">
        <f t="shared" si="0"/>
        <v>68841.5</v>
      </c>
      <c r="J11" s="1"/>
      <c r="K11" s="1">
        <f t="shared" si="1"/>
        <v>64792</v>
      </c>
      <c r="L11" t="s">
        <v>65</v>
      </c>
      <c r="M11" t="s">
        <v>136</v>
      </c>
    </row>
    <row r="12" spans="2:13" x14ac:dyDescent="0.45">
      <c r="B12" t="str">
        <f>_xlfn.XLOOKUP(F12,'[1]non-gaming'!$G:$G,'[1]non-gaming'!$D:$D)</f>
        <v>DU5S6PA</v>
      </c>
      <c r="C12" s="2">
        <f>VLOOKUP(B12,'[2]ZMATINFO NB - 0924'!$N:$R,4,0)</f>
        <v>432115036914</v>
      </c>
      <c r="D12" t="s">
        <v>49</v>
      </c>
      <c r="E12" t="s">
        <v>60</v>
      </c>
      <c r="F12" t="s">
        <v>19</v>
      </c>
      <c r="G12" t="s">
        <v>20</v>
      </c>
      <c r="H12" s="1">
        <v>103990</v>
      </c>
      <c r="I12" s="1">
        <f t="shared" si="0"/>
        <v>88391.5</v>
      </c>
      <c r="J12" s="1"/>
      <c r="K12" s="1"/>
      <c r="L12" t="s">
        <v>65</v>
      </c>
    </row>
    <row r="13" spans="2:13" x14ac:dyDescent="0.45">
      <c r="B13" t="str">
        <f>_xlfn.XLOOKUP(F13,'[1]non-gaming'!$G:$G,'[1]non-gaming'!$D:$D)</f>
        <v>DU5S7PA</v>
      </c>
      <c r="C13" s="2">
        <f>VLOOKUP(B13,'[2]ZMATINFO NB - 0924'!$N:$R,4,0)</f>
        <v>432115036915</v>
      </c>
      <c r="D13" t="s">
        <v>49</v>
      </c>
      <c r="E13" t="s">
        <v>60</v>
      </c>
      <c r="F13" t="s">
        <v>21</v>
      </c>
      <c r="G13" t="s">
        <v>22</v>
      </c>
      <c r="H13" s="1">
        <v>113990</v>
      </c>
      <c r="I13" s="1">
        <f t="shared" si="0"/>
        <v>96891.5</v>
      </c>
      <c r="J13" s="1"/>
      <c r="K13" s="1"/>
      <c r="L13" t="s">
        <v>65</v>
      </c>
    </row>
    <row r="14" spans="2:13" x14ac:dyDescent="0.45">
      <c r="B14" t="str">
        <f>_xlfn.XLOOKUP(F14,'[1]non-gaming'!$G:$G,'[1]non-gaming'!$D:$D)</f>
        <v>DU5T2PA</v>
      </c>
      <c r="C14" s="2">
        <f>VLOOKUP(B14,'[2]ZMATINFO NB - 0924'!$N:$R,4,0)</f>
        <v>432115036916</v>
      </c>
      <c r="D14" t="s">
        <v>49</v>
      </c>
      <c r="E14" t="s">
        <v>60</v>
      </c>
      <c r="F14" t="s">
        <v>23</v>
      </c>
      <c r="G14" t="s">
        <v>24</v>
      </c>
      <c r="H14" s="1">
        <v>138990</v>
      </c>
      <c r="I14" s="1">
        <f t="shared" si="0"/>
        <v>118141.5</v>
      </c>
      <c r="J14" s="1"/>
      <c r="K14" s="1"/>
      <c r="L14" t="s">
        <v>65</v>
      </c>
    </row>
    <row r="15" spans="2:13" x14ac:dyDescent="0.45">
      <c r="B15" t="str">
        <f>_xlfn.XLOOKUP(F15,'[1]non-gaming'!$G:$G,'[1]non-gaming'!$D:$D)</f>
        <v>DU5S8PA</v>
      </c>
      <c r="C15" s="2">
        <f>VLOOKUP(B15,'[2]ZMATINFO NB - 0924'!$N:$R,4,0)</f>
        <v>432115036917</v>
      </c>
      <c r="D15" t="s">
        <v>49</v>
      </c>
      <c r="E15" t="s">
        <v>60</v>
      </c>
      <c r="F15" t="s">
        <v>25</v>
      </c>
      <c r="G15" t="s">
        <v>26</v>
      </c>
      <c r="H15" s="1">
        <v>159990</v>
      </c>
      <c r="I15" s="1">
        <f t="shared" si="0"/>
        <v>135991.5</v>
      </c>
      <c r="J15" s="1"/>
      <c r="K15" s="1"/>
      <c r="L15" t="s">
        <v>65</v>
      </c>
    </row>
    <row r="16" spans="2:13" x14ac:dyDescent="0.45">
      <c r="B16" t="str">
        <f>_xlfn.XLOOKUP(F16,'[1]non-gaming'!$G:$G,'[1]non-gaming'!$D:$D)</f>
        <v>DU5T6PA</v>
      </c>
      <c r="C16" s="2">
        <f>VLOOKUP(B16,'[2]ZMATINFO NB - 0924'!$N:$R,4,0)</f>
        <v>432115036919</v>
      </c>
      <c r="D16" t="s">
        <v>50</v>
      </c>
      <c r="E16" t="s">
        <v>60</v>
      </c>
      <c r="F16" t="s">
        <v>27</v>
      </c>
      <c r="G16" t="s">
        <v>28</v>
      </c>
      <c r="H16" s="1">
        <v>101990</v>
      </c>
      <c r="I16" s="1">
        <f t="shared" si="0"/>
        <v>86691.5</v>
      </c>
      <c r="J16" s="1"/>
      <c r="K16" s="1"/>
      <c r="L16" t="s">
        <v>65</v>
      </c>
    </row>
    <row r="17" spans="2:13" x14ac:dyDescent="0.45">
      <c r="B17" t="str">
        <f>_xlfn.XLOOKUP(F17,'[1]non-gaming'!$G:$G,'[1]non-gaming'!$D:$D)</f>
        <v>DU5S1PA</v>
      </c>
      <c r="C17" s="2">
        <f>VLOOKUP(B17,'[2]ZMATINFO NB - 0924'!$N:$R,4,0)</f>
        <v>432115036922</v>
      </c>
      <c r="D17" t="s">
        <v>49</v>
      </c>
      <c r="E17" t="s">
        <v>60</v>
      </c>
      <c r="F17" t="s">
        <v>29</v>
      </c>
      <c r="G17" t="s">
        <v>30</v>
      </c>
      <c r="H17" s="1">
        <v>112990</v>
      </c>
      <c r="I17" s="1">
        <f t="shared" si="0"/>
        <v>96041.5</v>
      </c>
      <c r="J17" s="1"/>
      <c r="K17" s="1"/>
      <c r="L17" t="s">
        <v>65</v>
      </c>
    </row>
    <row r="18" spans="2:13" x14ac:dyDescent="0.45">
      <c r="B18" t="str">
        <f>_xlfn.XLOOKUP(F18,'[1]non-gaming'!$G:$G,'[1]non-gaming'!$D:$D)</f>
        <v>DU5S4PA</v>
      </c>
      <c r="C18" s="2">
        <f>VLOOKUP(B18,'[2]ZMATINFO NB - 0924'!$N:$R,4,0)</f>
        <v>432115036923</v>
      </c>
      <c r="D18" t="s">
        <v>49</v>
      </c>
      <c r="E18" t="s">
        <v>60</v>
      </c>
      <c r="F18" t="s">
        <v>31</v>
      </c>
      <c r="G18" t="s">
        <v>32</v>
      </c>
      <c r="H18" s="1">
        <v>122990</v>
      </c>
      <c r="I18" s="1">
        <f t="shared" si="0"/>
        <v>104541.5</v>
      </c>
      <c r="J18" s="1"/>
      <c r="K18" s="1"/>
      <c r="L18" t="s">
        <v>65</v>
      </c>
    </row>
    <row r="19" spans="2:13" x14ac:dyDescent="0.45">
      <c r="B19" t="str">
        <f>_xlfn.XLOOKUP(F19,'[1]non-gaming'!$G:$G,'[1]non-gaming'!$D:$D)</f>
        <v>DU5S5PA</v>
      </c>
      <c r="C19" s="2">
        <f>VLOOKUP(B19,'[2]ZMATINFO NB - 0924'!$N:$R,4,0)</f>
        <v>432115036924</v>
      </c>
      <c r="D19" t="s">
        <v>49</v>
      </c>
      <c r="E19" t="s">
        <v>60</v>
      </c>
      <c r="F19" t="s">
        <v>33</v>
      </c>
      <c r="G19" t="s">
        <v>34</v>
      </c>
      <c r="H19" s="1">
        <v>169990</v>
      </c>
      <c r="I19" s="1">
        <f t="shared" si="0"/>
        <v>144491.5</v>
      </c>
      <c r="J19" s="1"/>
      <c r="K19" s="1"/>
      <c r="L19" t="s">
        <v>65</v>
      </c>
    </row>
    <row r="20" spans="2:13" x14ac:dyDescent="0.45">
      <c r="B20" t="str">
        <f>_xlfn.XLOOKUP(F20,'[1]non-gaming'!$G:$G,'[1]non-gaming'!$D:$D)</f>
        <v>DU5T4PA</v>
      </c>
      <c r="C20" s="2">
        <f>VLOOKUP(B20,'[2]ZMATINFO NB - 0924'!$N:$R,4,0)</f>
        <v>432115036925</v>
      </c>
      <c r="D20" t="s">
        <v>50</v>
      </c>
      <c r="E20" t="s">
        <v>60</v>
      </c>
      <c r="F20" t="s">
        <v>35</v>
      </c>
      <c r="G20" t="s">
        <v>36</v>
      </c>
      <c r="H20" s="1">
        <v>106990</v>
      </c>
      <c r="I20" s="1">
        <f t="shared" si="0"/>
        <v>90941.5</v>
      </c>
      <c r="J20" s="1"/>
      <c r="K20" s="1"/>
      <c r="L20" t="s">
        <v>65</v>
      </c>
    </row>
    <row r="21" spans="2:13" x14ac:dyDescent="0.45">
      <c r="B21" t="str">
        <f>_xlfn.XLOOKUP(F21,'[1]non-gaming'!$G:$G,'[1]non-gaming'!$D:$D)</f>
        <v>DW8J8PA</v>
      </c>
      <c r="C21" s="2">
        <f>VLOOKUP(B21,'[2]ZMATINFO NB - 0924'!$N:$R,4,0)</f>
        <v>432115036926</v>
      </c>
      <c r="D21" t="s">
        <v>50</v>
      </c>
      <c r="E21" t="s">
        <v>60</v>
      </c>
      <c r="F21" t="s">
        <v>37</v>
      </c>
      <c r="G21" t="s">
        <v>38</v>
      </c>
      <c r="H21" s="1">
        <v>109990</v>
      </c>
      <c r="I21" s="1">
        <f t="shared" si="0"/>
        <v>93491.5</v>
      </c>
      <c r="J21" s="1"/>
      <c r="K21" s="1"/>
      <c r="L21" t="s">
        <v>65</v>
      </c>
    </row>
    <row r="22" spans="2:13" x14ac:dyDescent="0.45">
      <c r="B22" t="str">
        <f>_xlfn.XLOOKUP(F22,'[1]non-gaming'!$G:$G,'[1]non-gaming'!$D:$D)</f>
        <v>DU5T3PA</v>
      </c>
      <c r="C22" s="2">
        <f>VLOOKUP(B22,'[2]ZMATINFO NB - 0924'!$N:$R,4,0)</f>
        <v>432115036927</v>
      </c>
      <c r="D22" t="s">
        <v>50</v>
      </c>
      <c r="E22" t="s">
        <v>60</v>
      </c>
      <c r="F22" t="s">
        <v>39</v>
      </c>
      <c r="G22" t="s">
        <v>40</v>
      </c>
      <c r="H22" s="1">
        <v>158990</v>
      </c>
      <c r="I22" s="1">
        <f t="shared" si="0"/>
        <v>135141.5</v>
      </c>
      <c r="J22" s="1"/>
      <c r="K22" s="1"/>
      <c r="L22" t="s">
        <v>65</v>
      </c>
    </row>
    <row r="23" spans="2:13" x14ac:dyDescent="0.45">
      <c r="B23" t="str">
        <f>_xlfn.XLOOKUP(F23,'[1]non-gaming'!$G:$G,'[1]non-gaming'!$D:$D)</f>
        <v>DM8L6PA</v>
      </c>
      <c r="C23" s="2">
        <f>VLOOKUP(B23,'[2]ZMATINFO NB - 0924'!$N:$R,4,0)</f>
        <v>432115036971</v>
      </c>
      <c r="D23" t="s">
        <v>43</v>
      </c>
      <c r="E23" t="s">
        <v>0</v>
      </c>
      <c r="F23" t="s">
        <v>41</v>
      </c>
      <c r="G23" t="s">
        <v>42</v>
      </c>
      <c r="H23" s="1">
        <v>57990</v>
      </c>
      <c r="I23" s="1">
        <f t="shared" si="0"/>
        <v>49291.5</v>
      </c>
      <c r="J23" s="1"/>
      <c r="K23" s="1"/>
      <c r="L23" t="s">
        <v>124</v>
      </c>
    </row>
    <row r="24" spans="2:13" x14ac:dyDescent="0.45">
      <c r="B24" s="3" t="s">
        <v>66</v>
      </c>
      <c r="C24" s="2">
        <f>VLOOKUP(B24,'[2]ZMATINFO NB - 0924'!$N:$R,4,0)</f>
        <v>432115037064</v>
      </c>
      <c r="D24" s="3" t="s">
        <v>43</v>
      </c>
      <c r="E24" t="s">
        <v>0</v>
      </c>
      <c r="F24" s="3" t="s">
        <v>89</v>
      </c>
      <c r="G24" s="9" t="s">
        <v>106</v>
      </c>
      <c r="H24" s="14">
        <v>64990</v>
      </c>
      <c r="I24" s="1">
        <f t="shared" si="0"/>
        <v>55241.5</v>
      </c>
      <c r="J24" s="1">
        <v>44990</v>
      </c>
      <c r="K24" s="17">
        <f>J24*0.85</f>
        <v>38241.5</v>
      </c>
      <c r="L24" t="s">
        <v>124</v>
      </c>
      <c r="M24" t="s">
        <v>134</v>
      </c>
    </row>
    <row r="25" spans="2:13" x14ac:dyDescent="0.45">
      <c r="B25" s="3" t="s">
        <v>67</v>
      </c>
      <c r="C25" s="2">
        <f>VLOOKUP(B25,'[2]ZMATINFO NB - 0924'!$N:$R,4,0)</f>
        <v>432115037065</v>
      </c>
      <c r="D25" s="3" t="s">
        <v>43</v>
      </c>
      <c r="E25" t="s">
        <v>0</v>
      </c>
      <c r="F25" s="3" t="s">
        <v>90</v>
      </c>
      <c r="G25" s="9" t="s">
        <v>107</v>
      </c>
      <c r="H25" s="14">
        <v>77990</v>
      </c>
      <c r="I25" s="1">
        <f t="shared" si="0"/>
        <v>66291.5</v>
      </c>
      <c r="J25" s="1"/>
      <c r="L25" t="s">
        <v>124</v>
      </c>
    </row>
    <row r="26" spans="2:13" x14ac:dyDescent="0.45">
      <c r="B26" s="3" t="s">
        <v>68</v>
      </c>
      <c r="C26" s="2">
        <f>VLOOKUP(B26,'[2]ZMATINFO NB - 0924'!$N:$R,4,0)</f>
        <v>432115037067</v>
      </c>
      <c r="D26" s="3" t="s">
        <v>44</v>
      </c>
      <c r="E26" t="s">
        <v>0</v>
      </c>
      <c r="F26" s="3" t="s">
        <v>91</v>
      </c>
      <c r="G26" s="9" t="s">
        <v>108</v>
      </c>
      <c r="H26" s="15">
        <v>66990</v>
      </c>
      <c r="I26" s="1">
        <f t="shared" si="0"/>
        <v>56941.5</v>
      </c>
      <c r="J26" s="1">
        <v>56990</v>
      </c>
      <c r="K26" s="17">
        <f>J26*0.85</f>
        <v>48441.5</v>
      </c>
      <c r="L26" t="s">
        <v>124</v>
      </c>
      <c r="M26" t="s">
        <v>134</v>
      </c>
    </row>
    <row r="27" spans="2:13" x14ac:dyDescent="0.45">
      <c r="B27" s="4" t="s">
        <v>69</v>
      </c>
      <c r="C27" s="2">
        <f>VLOOKUP(B27,'[2]ZMATINFO NB - 0924'!$N:$R,4,0)</f>
        <v>432115037139</v>
      </c>
      <c r="D27" s="6" t="s">
        <v>44</v>
      </c>
      <c r="E27" t="s">
        <v>0</v>
      </c>
      <c r="F27" s="4" t="s">
        <v>92</v>
      </c>
      <c r="G27" s="10" t="s">
        <v>109</v>
      </c>
      <c r="H27" s="16">
        <v>78990</v>
      </c>
      <c r="I27" s="1">
        <f t="shared" si="0"/>
        <v>67141.5</v>
      </c>
      <c r="J27" s="1">
        <v>62990</v>
      </c>
      <c r="K27" s="17">
        <f>J27*0.85</f>
        <v>53541.5</v>
      </c>
      <c r="L27" t="s">
        <v>124</v>
      </c>
      <c r="M27" t="s">
        <v>134</v>
      </c>
    </row>
    <row r="28" spans="2:13" x14ac:dyDescent="0.45">
      <c r="B28" s="5" t="s">
        <v>70</v>
      </c>
      <c r="C28" s="2">
        <f>VLOOKUP(B28,'[2]ZMATINFO NB - 0924'!$N:$R,4,0)</f>
        <v>432115037068</v>
      </c>
      <c r="D28" s="3" t="s">
        <v>43</v>
      </c>
      <c r="E28" t="s">
        <v>0</v>
      </c>
      <c r="F28" s="6" t="s">
        <v>93</v>
      </c>
      <c r="G28" s="11" t="s">
        <v>110</v>
      </c>
      <c r="H28" s="14">
        <v>67990</v>
      </c>
      <c r="I28" s="1">
        <f t="shared" si="0"/>
        <v>57791.5</v>
      </c>
      <c r="J28" s="1">
        <v>54990</v>
      </c>
      <c r="K28" s="17">
        <f>J28*0.85</f>
        <v>46741.5</v>
      </c>
      <c r="L28" t="s">
        <v>124</v>
      </c>
      <c r="M28" t="s">
        <v>134</v>
      </c>
    </row>
    <row r="29" spans="2:13" x14ac:dyDescent="0.45">
      <c r="B29" s="3" t="s">
        <v>71</v>
      </c>
      <c r="C29" s="2">
        <f>VLOOKUP(B29,'[2]ZMATINFO NB - 0924'!$N:$R,4,0)</f>
        <v>432115037086</v>
      </c>
      <c r="D29" s="3" t="s">
        <v>83</v>
      </c>
      <c r="E29" t="s">
        <v>57</v>
      </c>
      <c r="F29" s="3" t="s">
        <v>94</v>
      </c>
      <c r="G29" s="3" t="s">
        <v>111</v>
      </c>
      <c r="H29" s="15">
        <v>63990</v>
      </c>
      <c r="I29" s="1">
        <f t="shared" si="0"/>
        <v>54391.5</v>
      </c>
      <c r="J29" s="1"/>
      <c r="L29" t="s">
        <v>125</v>
      </c>
    </row>
    <row r="30" spans="2:13" x14ac:dyDescent="0.45">
      <c r="B30" s="3" t="s">
        <v>72</v>
      </c>
      <c r="C30" s="2">
        <f>VLOOKUP(B30,'[2]ZMATINFO NB - 0924'!$N:$R,4,0)</f>
        <v>432115037087</v>
      </c>
      <c r="D30" s="3" t="s">
        <v>83</v>
      </c>
      <c r="E30" t="s">
        <v>57</v>
      </c>
      <c r="F30" s="3" t="s">
        <v>95</v>
      </c>
      <c r="G30" s="3" t="s">
        <v>112</v>
      </c>
      <c r="H30" s="15">
        <v>63990</v>
      </c>
      <c r="I30" s="1">
        <f t="shared" si="0"/>
        <v>54391.5</v>
      </c>
      <c r="J30" s="1"/>
      <c r="L30" t="s">
        <v>125</v>
      </c>
    </row>
    <row r="31" spans="2:13" x14ac:dyDescent="0.45">
      <c r="B31" s="3" t="s">
        <v>73</v>
      </c>
      <c r="C31" s="2">
        <f>VLOOKUP(B31,'[2]ZMATINFO NB - 0924'!$N:$R,4,0)</f>
        <v>432115037097</v>
      </c>
      <c r="D31" s="3" t="s">
        <v>84</v>
      </c>
      <c r="E31" t="s">
        <v>57</v>
      </c>
      <c r="F31" s="3" t="s">
        <v>96</v>
      </c>
      <c r="G31" s="3" t="s">
        <v>113</v>
      </c>
      <c r="H31" s="14">
        <v>69990</v>
      </c>
      <c r="I31" s="1">
        <f t="shared" si="0"/>
        <v>59491.5</v>
      </c>
      <c r="J31" s="1"/>
      <c r="L31" t="s">
        <v>125</v>
      </c>
    </row>
    <row r="32" spans="2:13" x14ac:dyDescent="0.45">
      <c r="B32" s="3" t="s">
        <v>74</v>
      </c>
      <c r="C32" s="2">
        <f>VLOOKUP(B32,'[2]ZMATINFO NB - 0924'!$N:$R,4,0)</f>
        <v>432115037098</v>
      </c>
      <c r="D32" s="3" t="s">
        <v>85</v>
      </c>
      <c r="E32" t="s">
        <v>57</v>
      </c>
      <c r="F32" s="3" t="s">
        <v>97</v>
      </c>
      <c r="G32" s="3" t="s">
        <v>114</v>
      </c>
      <c r="H32" s="15">
        <v>79990</v>
      </c>
      <c r="I32" s="1">
        <f t="shared" si="0"/>
        <v>67991.5</v>
      </c>
      <c r="J32" s="1"/>
      <c r="L32" t="s">
        <v>125</v>
      </c>
    </row>
    <row r="33" spans="2:12" x14ac:dyDescent="0.45">
      <c r="B33" s="3" t="s">
        <v>75</v>
      </c>
      <c r="C33" s="2">
        <f>VLOOKUP(B33,'[2]ZMATINFO NB - 0924'!$N:$R,4,0)</f>
        <v>432115037088</v>
      </c>
      <c r="D33" s="3" t="s">
        <v>85</v>
      </c>
      <c r="E33" t="s">
        <v>57</v>
      </c>
      <c r="F33" s="3" t="s">
        <v>98</v>
      </c>
      <c r="G33" s="3" t="s">
        <v>115</v>
      </c>
      <c r="H33" s="15">
        <v>79990</v>
      </c>
      <c r="I33" s="1">
        <f t="shared" si="0"/>
        <v>67991.5</v>
      </c>
      <c r="J33" s="1"/>
      <c r="L33" t="s">
        <v>125</v>
      </c>
    </row>
    <row r="34" spans="2:12" x14ac:dyDescent="0.45">
      <c r="B34" s="3" t="s">
        <v>76</v>
      </c>
      <c r="C34" s="2">
        <f>VLOOKUP(B34,'[2]ZMATINFO NB - 0924'!$N:$R,4,0)</f>
        <v>432115037089</v>
      </c>
      <c r="D34" s="3" t="s">
        <v>86</v>
      </c>
      <c r="E34" t="s">
        <v>57</v>
      </c>
      <c r="F34" s="3" t="s">
        <v>99</v>
      </c>
      <c r="G34" s="3" t="s">
        <v>116</v>
      </c>
      <c r="H34" s="14">
        <v>82990</v>
      </c>
      <c r="I34" s="1">
        <f t="shared" si="0"/>
        <v>70541.5</v>
      </c>
      <c r="J34" s="1"/>
      <c r="L34" t="s">
        <v>125</v>
      </c>
    </row>
    <row r="35" spans="2:12" x14ac:dyDescent="0.45">
      <c r="B35" s="3" t="s">
        <v>77</v>
      </c>
      <c r="C35" s="2">
        <f>VLOOKUP(B35,'[2]ZMATINFO NB - 0924'!$N:$R,4,0)</f>
        <v>432115037090</v>
      </c>
      <c r="D35" s="3" t="s">
        <v>85</v>
      </c>
      <c r="E35" t="s">
        <v>57</v>
      </c>
      <c r="F35" s="3" t="s">
        <v>100</v>
      </c>
      <c r="G35" s="3" t="s">
        <v>117</v>
      </c>
      <c r="H35" s="14">
        <v>95990</v>
      </c>
      <c r="I35" s="1">
        <f t="shared" si="0"/>
        <v>81591.5</v>
      </c>
      <c r="J35" s="1"/>
      <c r="L35" t="s">
        <v>125</v>
      </c>
    </row>
    <row r="36" spans="2:12" x14ac:dyDescent="0.45">
      <c r="B36" s="3" t="s">
        <v>78</v>
      </c>
      <c r="C36" s="2">
        <f>VLOOKUP(B36,'[2]ZMATINFO NB - 0924'!$N:$R,4,0)</f>
        <v>432115037091</v>
      </c>
      <c r="D36" s="3" t="s">
        <v>85</v>
      </c>
      <c r="E36" t="s">
        <v>57</v>
      </c>
      <c r="F36" s="7" t="s">
        <v>101</v>
      </c>
      <c r="G36" s="12" t="s">
        <v>118</v>
      </c>
      <c r="H36" s="14">
        <v>95990</v>
      </c>
      <c r="I36" s="1">
        <f t="shared" si="0"/>
        <v>81591.5</v>
      </c>
      <c r="J36" s="1"/>
      <c r="L36" t="s">
        <v>125</v>
      </c>
    </row>
    <row r="37" spans="2:12" x14ac:dyDescent="0.45">
      <c r="B37" s="3" t="s">
        <v>79</v>
      </c>
      <c r="C37" s="2">
        <f>VLOOKUP(B37,'[2]ZMATINFO NB - 0924'!$N:$R,4,0)</f>
        <v>432115037092</v>
      </c>
      <c r="D37" s="3" t="s">
        <v>87</v>
      </c>
      <c r="E37" t="s">
        <v>123</v>
      </c>
      <c r="F37" s="3" t="s">
        <v>102</v>
      </c>
      <c r="G37" s="13" t="s">
        <v>119</v>
      </c>
      <c r="H37" s="15">
        <v>149990</v>
      </c>
      <c r="I37" s="1">
        <f t="shared" si="0"/>
        <v>127491.5</v>
      </c>
      <c r="J37" s="1"/>
      <c r="L37" t="s">
        <v>125</v>
      </c>
    </row>
    <row r="38" spans="2:12" x14ac:dyDescent="0.45">
      <c r="B38" s="3" t="s">
        <v>80</v>
      </c>
      <c r="C38" s="2">
        <f>VLOOKUP(B38,'[2]ZMATINFO NB - 0924'!$N:$R,4,0)</f>
        <v>432115037093</v>
      </c>
      <c r="D38" s="3" t="s">
        <v>87</v>
      </c>
      <c r="E38" t="s">
        <v>123</v>
      </c>
      <c r="F38" s="8" t="s">
        <v>103</v>
      </c>
      <c r="G38" s="13" t="s">
        <v>120</v>
      </c>
      <c r="H38" s="15">
        <v>149990</v>
      </c>
      <c r="I38" s="1">
        <f t="shared" si="0"/>
        <v>127491.5</v>
      </c>
      <c r="J38" s="1"/>
      <c r="L38" t="s">
        <v>125</v>
      </c>
    </row>
    <row r="39" spans="2:12" x14ac:dyDescent="0.45">
      <c r="B39" s="3" t="s">
        <v>81</v>
      </c>
      <c r="C39" s="2">
        <f>VLOOKUP(B39,'[2]ZMATINFO NB - 0924'!$N:$R,4,0)</f>
        <v>432115037094</v>
      </c>
      <c r="D39" s="6" t="s">
        <v>88</v>
      </c>
      <c r="E39" t="s">
        <v>60</v>
      </c>
      <c r="F39" s="3" t="s">
        <v>104</v>
      </c>
      <c r="G39" s="13" t="s">
        <v>121</v>
      </c>
      <c r="H39" s="14">
        <v>98990</v>
      </c>
      <c r="I39" s="1">
        <f t="shared" si="0"/>
        <v>84141.5</v>
      </c>
      <c r="J39" s="1"/>
      <c r="L39" t="s">
        <v>124</v>
      </c>
    </row>
    <row r="40" spans="2:12" x14ac:dyDescent="0.45">
      <c r="B40" s="3" t="s">
        <v>82</v>
      </c>
      <c r="C40" s="2">
        <f>VLOOKUP(B40,'[2]ZMATINFO NB - 0924'!$N:$R,4,0)</f>
        <v>432115037095</v>
      </c>
      <c r="D40" s="6" t="s">
        <v>88</v>
      </c>
      <c r="E40" t="s">
        <v>60</v>
      </c>
      <c r="F40" s="3" t="s">
        <v>105</v>
      </c>
      <c r="G40" s="13" t="s">
        <v>122</v>
      </c>
      <c r="H40" s="14">
        <v>98990</v>
      </c>
      <c r="I40" s="1">
        <f t="shared" si="0"/>
        <v>84141.5</v>
      </c>
      <c r="J40" s="1"/>
      <c r="L40" t="s">
        <v>124</v>
      </c>
    </row>
    <row r="41" spans="2:12" x14ac:dyDescent="0.45">
      <c r="B41" t="inlineStr">
        <is>
          <t>BQ5B1PT</t>
        </is>
      </c>
      <c r="C41" s="2">
        <v>432115037006</v>
      </c>
      <c r="E41" t="s">
        <v>130</v>
      </c>
      <c r="F41" t="s">
        <v>132</v>
      </c>
      <c r="G41" t="s">
        <v>131</v>
      </c>
      <c r="H41" s="1">
        <v>77990</v>
      </c>
      <c r="I41" s="1">
        <v>61706</v>
      </c>
      <c r="J41" s="1">
        <v>73990</v>
      </c>
      <c r="K41" s="1">
        <v>59000</v>
      </c>
      <c r="L41" t="s">
        <v>65</v>
      </c>
    </row>
  </sheetData>
  <dataValidations disablePrompts="1" count="1">
    <dataValidation allowBlank="1" showInputMessage="1" showErrorMessage="1" prompt="Will be populated a few days after product is frozen" sqref="B39:B40 B35 B26:B28" xr:uid="{22BA7B52-23EF-4AFC-A745-BE66CB2ABC6E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Nolasco, Jhon Edcel</dc:creator>
  <cp:lastModifiedBy>Nolasco, Jhon Edcel</cp:lastModifiedBy>
  <dcterms:created xsi:type="dcterms:W3CDTF">2026-09-24T10:32:02Z</dcterms:created>
  <dcterms:modified xsi:type="dcterms:W3CDTF">2026-10-13T02:18:34Z</dcterms:modified>
</cp:coreProperties>
</file>